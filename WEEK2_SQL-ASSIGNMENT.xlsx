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 firstSheet="2" activeTab="3"/>
  </bookViews>
  <sheets>
    <sheet name="Sales_Data" sheetId="1" r:id="rId1"/>
    <sheet name="Top_Customers" sheetId="4" r:id="rId2"/>
    <sheet name="Avg_Order_Values" sheetId="2" r:id="rId3"/>
    <sheet name="SQL_Queries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<sst xmlns="http://schemas.openxmlformats.org/spreadsheetml/2006/main" count="1247" uniqueCount="462">
  <si>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</si>
  <si>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</si>
  <si>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</si>
  <si>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</si>
  <si>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</si>
  <si>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</si>
  <si>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</si>
  <si>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</si>
  <si>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</si>
  <si>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</si>
  <si>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</si>
  <si>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Clothing</t>
  </si>
  <si>
    <t>Jeans</t>
  </si>
  <si>
    <t>Jeans Try</t>
  </si>
  <si>
    <t>West</t>
  </si>
  <si>
    <t>Misty Herrera</t>
  </si>
  <si>
    <t>Jeans New</t>
  </si>
  <si>
    <t>South</t>
  </si>
  <si>
    <t>Rick Soto</t>
  </si>
  <si>
    <t>Shoes</t>
  </si>
  <si>
    <t>Shoes Us</t>
  </si>
  <si>
    <t>East</t>
  </si>
  <si>
    <t>Sean Haas</t>
  </si>
  <si>
    <t>Furniture</t>
  </si>
  <si>
    <t>Desk</t>
  </si>
  <si>
    <t>Desk Section</t>
  </si>
  <si>
    <t>Ann Hall</t>
  </si>
  <si>
    <t>Cabinet</t>
  </si>
  <si>
    <t>Cabinet Center</t>
  </si>
  <si>
    <t>North</t>
  </si>
  <si>
    <t>Michelle White</t>
  </si>
  <si>
    <t>Desk Point</t>
  </si>
  <si>
    <t>Breanna Gonzalez</t>
  </si>
  <si>
    <t>Grocery</t>
  </si>
  <si>
    <t>Bread</t>
  </si>
  <si>
    <t>Bread Black</t>
  </si>
  <si>
    <t>Angela Rivera</t>
  </si>
  <si>
    <t>Chair</t>
  </si>
  <si>
    <t>Chair Believe</t>
  </si>
  <si>
    <t>Emily Anderson</t>
  </si>
  <si>
    <t>Electronics</t>
  </si>
  <si>
    <t>Mobile</t>
  </si>
  <si>
    <t>Mobile Evening</t>
  </si>
  <si>
    <t>Laura Anderson</t>
  </si>
  <si>
    <t>Snacks</t>
  </si>
  <si>
    <t>Snacks Capital</t>
  </si>
  <si>
    <t>Ryan Smith</t>
  </si>
  <si>
    <t>Laptop</t>
  </si>
  <si>
    <t>Laptop Find</t>
  </si>
  <si>
    <t>Valerie Hooper</t>
  </si>
  <si>
    <t>Couch</t>
  </si>
  <si>
    <t>Couch Charge</t>
  </si>
  <si>
    <t>Kyle Kirby</t>
  </si>
  <si>
    <t>Juice</t>
  </si>
  <si>
    <t>Juice Country</t>
  </si>
  <si>
    <t>Barry Johnson</t>
  </si>
  <si>
    <t>Juice Staff</t>
  </si>
  <si>
    <t>Dawn Edwards</t>
  </si>
  <si>
    <t>Juice Quality</t>
  </si>
  <si>
    <t>Kylie Cox</t>
  </si>
  <si>
    <t>Jeans Few</t>
  </si>
  <si>
    <t>Rachel Wilson</t>
  </si>
  <si>
    <t>Bread Skin</t>
  </si>
  <si>
    <t>Tracy Williams</t>
  </si>
  <si>
    <t>Jeans Song</t>
  </si>
  <si>
    <t>Richard Paul</t>
  </si>
  <si>
    <t>Cabinet Almost</t>
  </si>
  <si>
    <t>Debbie Turner</t>
  </si>
  <si>
    <t>Snacks Some</t>
  </si>
  <si>
    <t>Roy Stewart</t>
  </si>
  <si>
    <t>Mobile Change</t>
  </si>
  <si>
    <t>Michelle Lucero</t>
  </si>
  <si>
    <t>Shirt</t>
  </si>
  <si>
    <t>Shirt Carry</t>
  </si>
  <si>
    <t>Benjamin Meadows</t>
  </si>
  <si>
    <t>Shoes Job</t>
  </si>
  <si>
    <t>Nicholas Ruiz</t>
  </si>
  <si>
    <t>Cabinet Treatment</t>
  </si>
  <si>
    <t>Jodi Smith</t>
  </si>
  <si>
    <t>Bread Pass</t>
  </si>
  <si>
    <t>Michael Meyer</t>
  </si>
  <si>
    <t>Chair Continue</t>
  </si>
  <si>
    <t>Kerry Moore</t>
  </si>
  <si>
    <t>Bread Baby</t>
  </si>
  <si>
    <t>Luis Ward</t>
  </si>
  <si>
    <t>Desk Financial</t>
  </si>
  <si>
    <t>Abigail Powell</t>
  </si>
  <si>
    <t>Shoes Hear</t>
  </si>
  <si>
    <t>Nicholas Wallace</t>
  </si>
  <si>
    <t>Milk</t>
  </si>
  <si>
    <t>Milk Young</t>
  </si>
  <si>
    <t>Ashley Joyce DVM</t>
  </si>
  <si>
    <t>Headphones</t>
  </si>
  <si>
    <t>Headphones Your</t>
  </si>
  <si>
    <t>Robert Lewis</t>
  </si>
  <si>
    <t>Couch Back</t>
  </si>
  <si>
    <t>Mary Stewart</t>
  </si>
  <si>
    <t>Bread Too</t>
  </si>
  <si>
    <t>Emily Ray</t>
  </si>
  <si>
    <t>Laptop Sea</t>
  </si>
  <si>
    <t>James Smith</t>
  </si>
  <si>
    <t>Snacks Article</t>
  </si>
  <si>
    <t>Bradley Wilson</t>
  </si>
  <si>
    <t>Bread Something</t>
  </si>
  <si>
    <t>John Hughes</t>
  </si>
  <si>
    <t>Couch Four</t>
  </si>
  <si>
    <t>Eric Anderson</t>
  </si>
  <si>
    <t>Cabinet Him</t>
  </si>
  <si>
    <t>Walter Pearson</t>
  </si>
  <si>
    <t>Laptop Member</t>
  </si>
  <si>
    <t>Robert Bennett</t>
  </si>
  <si>
    <t>Desk Show</t>
  </si>
  <si>
    <t>Emily Collins</t>
  </si>
  <si>
    <t>Juice Together</t>
  </si>
  <si>
    <t>Neil Brown</t>
  </si>
  <si>
    <t>Chair Debate</t>
  </si>
  <si>
    <t>David Norris</t>
  </si>
  <si>
    <t>Shoes Far</t>
  </si>
  <si>
    <t>Matthew Leon</t>
  </si>
  <si>
    <t>Jacket</t>
  </si>
  <si>
    <t>Jacket Camera</t>
  </si>
  <si>
    <t>Becky Carrillo</t>
  </si>
  <si>
    <t>Tablet</t>
  </si>
  <si>
    <t>Tablet Property</t>
  </si>
  <si>
    <t>Denise Wilson</t>
  </si>
  <si>
    <t>Snacks Positive</t>
  </si>
  <si>
    <t>Julian White</t>
  </si>
  <si>
    <t>Chair Amount</t>
  </si>
  <si>
    <t>Larry Martinez</t>
  </si>
  <si>
    <t>Snacks Live</t>
  </si>
  <si>
    <t>Debra Swanson</t>
  </si>
  <si>
    <t>Chair Who</t>
  </si>
  <si>
    <t>Melissa Ruiz</t>
  </si>
  <si>
    <t>Shoes Seem</t>
  </si>
  <si>
    <t>Laura Ramos</t>
  </si>
  <si>
    <t>Mobile Democrat</t>
  </si>
  <si>
    <t>David Skinner</t>
  </si>
  <si>
    <t>Jacket Ready</t>
  </si>
  <si>
    <t>William Koch</t>
  </si>
  <si>
    <t>Bread Support</t>
  </si>
  <si>
    <t>Christine Bauer</t>
  </si>
  <si>
    <t>Shirt Community</t>
  </si>
  <si>
    <t>Sharon Martinez</t>
  </si>
  <si>
    <t>Couch Mother</t>
  </si>
  <si>
    <t>Whitney Levine</t>
  </si>
  <si>
    <t>Mobile Part</t>
  </si>
  <si>
    <t>William Garcia</t>
  </si>
  <si>
    <t>Cabinet Worker</t>
  </si>
  <si>
    <t>Matthew Conrad</t>
  </si>
  <si>
    <t>Milk Town</t>
  </si>
  <si>
    <t>Tara Garner</t>
  </si>
  <si>
    <t>Jeans Food</t>
  </si>
  <si>
    <t>Miss Rebecca Levine</t>
  </si>
  <si>
    <t>Shirt Look</t>
  </si>
  <si>
    <t>Rebecca Lozano</t>
  </si>
  <si>
    <t>Chair Evening</t>
  </si>
  <si>
    <t>Sharon Cunningham</t>
  </si>
  <si>
    <t>Bread Theory</t>
  </si>
  <si>
    <t>Jessica Hernandez</t>
  </si>
  <si>
    <t>Shoes Care</t>
  </si>
  <si>
    <t>Jacob Henry</t>
  </si>
  <si>
    <t>Tablet Job</t>
  </si>
  <si>
    <t>Brandon Rivera</t>
  </si>
  <si>
    <t>Tablet Idea</t>
  </si>
  <si>
    <t>Garrett Guerrero</t>
  </si>
  <si>
    <t>Couch View</t>
  </si>
  <si>
    <t>Robert Lopez</t>
  </si>
  <si>
    <t>Jeans Cut</t>
  </si>
  <si>
    <t>Lauren Hill</t>
  </si>
  <si>
    <t>Laptop Staff</t>
  </si>
  <si>
    <t>Michael Taylor</t>
  </si>
  <si>
    <t>Couch Sign</t>
  </si>
  <si>
    <t>Michele Wilson</t>
  </si>
  <si>
    <t>Mobile Body</t>
  </si>
  <si>
    <t>Patrick Watson</t>
  </si>
  <si>
    <t>Desk Would</t>
  </si>
  <si>
    <t>Mr. Daniel Grant</t>
  </si>
  <si>
    <t>Cabinet American</t>
  </si>
  <si>
    <t>Laura Hayes</t>
  </si>
  <si>
    <t>Cabinet Rich</t>
  </si>
  <si>
    <t>Katie Jackson</t>
  </si>
  <si>
    <t>Headphones Within</t>
  </si>
  <si>
    <t>Cassandra Wilkinson</t>
  </si>
  <si>
    <t>Laptop Value</t>
  </si>
  <si>
    <t>Vanessa Matthews</t>
  </si>
  <si>
    <t>Laptop Land</t>
  </si>
  <si>
    <t>Robert Horn</t>
  </si>
  <si>
    <t>Tablet Improve</t>
  </si>
  <si>
    <t>Amy Davis</t>
  </si>
  <si>
    <t>Chair Food</t>
  </si>
  <si>
    <t>Robin Fuller</t>
  </si>
  <si>
    <t>Snacks Into</t>
  </si>
  <si>
    <t>Christopher Baker</t>
  </si>
  <si>
    <t>Jacket Exactly</t>
  </si>
  <si>
    <t>James Ali</t>
  </si>
  <si>
    <t>Headphones Above</t>
  </si>
  <si>
    <t>Mrs. Wendy Lin</t>
  </si>
  <si>
    <t>Desk Place</t>
  </si>
  <si>
    <t>Kenneth Lee</t>
  </si>
  <si>
    <t>Jacket Realize</t>
  </si>
  <si>
    <t>Erin Barker</t>
  </si>
  <si>
    <t>Couch Thank</t>
  </si>
  <si>
    <t>Karen Ryan</t>
  </si>
  <si>
    <t>Cabinet Instead</t>
  </si>
  <si>
    <t>Shelly Snyder</t>
  </si>
  <si>
    <t>Cabinet These</t>
  </si>
  <si>
    <t>Michael Gutierrez</t>
  </si>
  <si>
    <t>Headphones Just</t>
  </si>
  <si>
    <t>Jennifer Alexander</t>
  </si>
  <si>
    <t>Mobile All</t>
  </si>
  <si>
    <t>Gina Mckee</t>
  </si>
  <si>
    <t>Cabinet Occur</t>
  </si>
  <si>
    <t>Maria Collins</t>
  </si>
  <si>
    <t>Tablet My</t>
  </si>
  <si>
    <t>Emily Bennett</t>
  </si>
  <si>
    <t>Laptop International</t>
  </si>
  <si>
    <t>Michael Saunders</t>
  </si>
  <si>
    <t>Couch Need</t>
  </si>
  <si>
    <t>Kevin Anderson</t>
  </si>
  <si>
    <t>Shoes Himself</t>
  </si>
  <si>
    <t>Kathleen Wilkins</t>
  </si>
  <si>
    <t>Bread Thousand</t>
  </si>
  <si>
    <t>Brittany Ray</t>
  </si>
  <si>
    <t>Tablet Get</t>
  </si>
  <si>
    <t>Pam Tapia</t>
  </si>
  <si>
    <t>Bread Wide</t>
  </si>
  <si>
    <t>Daniel Torres</t>
  </si>
  <si>
    <t>Tablet Contain</t>
  </si>
  <si>
    <t>Daniel Carter</t>
  </si>
  <si>
    <t>Headphones Career</t>
  </si>
  <si>
    <t>Mary Garrett</t>
  </si>
  <si>
    <t>Milk Executive</t>
  </si>
  <si>
    <t>Amanda Reeves</t>
  </si>
  <si>
    <t>Jeans Family</t>
  </si>
  <si>
    <t>Meagan Mata</t>
  </si>
  <si>
    <t>Headphones Professional</t>
  </si>
  <si>
    <t>Cynthia Wright</t>
  </si>
  <si>
    <t>Tablet Matter</t>
  </si>
  <si>
    <t>Brittany Leblanc</t>
  </si>
  <si>
    <t>Shirt Civil</t>
  </si>
  <si>
    <t>Tracey Johnson</t>
  </si>
  <si>
    <t>Tablet Left</t>
  </si>
  <si>
    <t>Brian Butler</t>
  </si>
  <si>
    <t>Headphones Should</t>
  </si>
  <si>
    <t>George Hamilton</t>
  </si>
  <si>
    <t>Juice Sort</t>
  </si>
  <si>
    <t>Tiffany Kerr</t>
  </si>
  <si>
    <t>Desk Fill</t>
  </si>
  <si>
    <t>Stacy Brown</t>
  </si>
  <si>
    <t>Chair Security</t>
  </si>
  <si>
    <t>Joshua Myers</t>
  </si>
  <si>
    <t>Snacks Recognize</t>
  </si>
  <si>
    <t>Scott Romero</t>
  </si>
  <si>
    <t>Juice Particularly</t>
  </si>
  <si>
    <t>John Martin</t>
  </si>
  <si>
    <t>Mobile Choice</t>
  </si>
  <si>
    <t>Willie Foster</t>
  </si>
  <si>
    <t>Shoes Church</t>
  </si>
  <si>
    <t>Robert Kelley</t>
  </si>
  <si>
    <t>Shirt Southern</t>
  </si>
  <si>
    <t>Ronnie Brown</t>
  </si>
  <si>
    <t>Milk Seek</t>
  </si>
  <si>
    <t>Stephanie Martinez</t>
  </si>
  <si>
    <t>Milk Position</t>
  </si>
  <si>
    <t>Gary Osborn</t>
  </si>
  <si>
    <t>Tablet Word</t>
  </si>
  <si>
    <t>Ms. Sheila Davis MD</t>
  </si>
  <si>
    <t>Cabinet Alone</t>
  </si>
  <si>
    <t>Michael Lyons</t>
  </si>
  <si>
    <t>Milk Ball</t>
  </si>
  <si>
    <t>Joshua Nelson</t>
  </si>
  <si>
    <t>Mobile Budget</t>
  </si>
  <si>
    <t>Anna Brown</t>
  </si>
  <si>
    <t>Chair Finally</t>
  </si>
  <si>
    <t>Rick Sanford</t>
  </si>
  <si>
    <t>Chair After</t>
  </si>
  <si>
    <t>Amanda Woods</t>
  </si>
  <si>
    <t>Tablet Forward</t>
  </si>
  <si>
    <t>Courtney Ellis</t>
  </si>
  <si>
    <t>Bread Society</t>
  </si>
  <si>
    <t>Derrick Barry</t>
  </si>
  <si>
    <t>Snacks Energy</t>
  </si>
  <si>
    <t>Lori Thomas</t>
  </si>
  <si>
    <t>Mobile Student</t>
  </si>
  <si>
    <t>Lynn Garrison</t>
  </si>
  <si>
    <t>Snacks Wish</t>
  </si>
  <si>
    <t>Zachary Jones</t>
  </si>
  <si>
    <t>Laptop Concern</t>
  </si>
  <si>
    <t>Mary Baldwin</t>
  </si>
  <si>
    <t>Chair Open</t>
  </si>
  <si>
    <t>Gregory Miller</t>
  </si>
  <si>
    <t>Jacket Image</t>
  </si>
  <si>
    <t>Natalie Murphy</t>
  </si>
  <si>
    <t>Mobile Protect</t>
  </si>
  <si>
    <t>Tiffany Cook</t>
  </si>
  <si>
    <t>Chair High</t>
  </si>
  <si>
    <t>Matthew Ross</t>
  </si>
  <si>
    <t>Cabinet Car</t>
  </si>
  <si>
    <t>Paul Kennedy</t>
  </si>
  <si>
    <t>Jeans Perhaps</t>
  </si>
  <si>
    <t>Aaron Mendoza</t>
  </si>
  <si>
    <t>Milk Official</t>
  </si>
  <si>
    <t>Sandra Taylor DDS</t>
  </si>
  <si>
    <t>Cabinet Whom</t>
  </si>
  <si>
    <t>Richard Cooley</t>
  </si>
  <si>
    <t>Cabinet Much</t>
  </si>
  <si>
    <t>Natalie Kirby</t>
  </si>
  <si>
    <t>Shirt Discuss</t>
  </si>
  <si>
    <t>Matthew Reese</t>
  </si>
  <si>
    <t>Chair That</t>
  </si>
  <si>
    <t>Brian Long</t>
  </si>
  <si>
    <t>Shirt Throughout</t>
  </si>
  <si>
    <t>Miguel Finley</t>
  </si>
  <si>
    <t>Couch Fire</t>
  </si>
  <si>
    <t>Scott Johnston</t>
  </si>
  <si>
    <t>Juice Usually</t>
  </si>
  <si>
    <t>Alicia Reynolds</t>
  </si>
  <si>
    <t>Snacks Religious</t>
  </si>
  <si>
    <t>Trevor Stuart</t>
  </si>
  <si>
    <t>Cabinet If</t>
  </si>
  <si>
    <t>Matthew Arias</t>
  </si>
  <si>
    <t>Laptop Skill</t>
  </si>
  <si>
    <t>Antonio Roth</t>
  </si>
  <si>
    <t>Headphones Against</t>
  </si>
  <si>
    <t>Sheila Booker</t>
  </si>
  <si>
    <t>Laptop Resource</t>
  </si>
  <si>
    <t>Anna Stone</t>
  </si>
  <si>
    <t>Snacks Season</t>
  </si>
  <si>
    <t>Angela Jackson</t>
  </si>
  <si>
    <t>Milk Establish</t>
  </si>
  <si>
    <t>Joshua Moore</t>
  </si>
  <si>
    <t>Cabinet Office</t>
  </si>
  <si>
    <t>Todd Barnes</t>
  </si>
  <si>
    <t>Chair Hope</t>
  </si>
  <si>
    <t>Laura Maynard</t>
  </si>
  <si>
    <t>Headphones Cold</t>
  </si>
  <si>
    <t>Sara Morgan</t>
  </si>
  <si>
    <t>Desk Put</t>
  </si>
  <si>
    <t>Christopher Gillespie</t>
  </si>
  <si>
    <t>Snacks Budget</t>
  </si>
  <si>
    <t>Brandon Hoffman</t>
  </si>
  <si>
    <t>Laptop Next</t>
  </si>
  <si>
    <t>Christine Watkins</t>
  </si>
  <si>
    <t>Juice Bar</t>
  </si>
  <si>
    <t>Andrew Lopez</t>
  </si>
  <si>
    <t>Headphones Too</t>
  </si>
  <si>
    <t>Deborah Glover</t>
  </si>
  <si>
    <t>Chair Push</t>
  </si>
  <si>
    <t>Patricia Gill</t>
  </si>
  <si>
    <t>Jacket Song</t>
  </si>
  <si>
    <t>Timothy Conrad</t>
  </si>
  <si>
    <t>Milk Little</t>
  </si>
  <si>
    <t>Alan Barker</t>
  </si>
  <si>
    <t>Mobile Employee</t>
  </si>
  <si>
    <t>Michelle Beltran</t>
  </si>
  <si>
    <t>Desk Me</t>
  </si>
  <si>
    <t>Katherine Baker</t>
  </si>
  <si>
    <t>Shoes Visit</t>
  </si>
  <si>
    <t>Wayne Lucas</t>
  </si>
  <si>
    <t>Chair Impact</t>
  </si>
  <si>
    <t>Tiffany Baker</t>
  </si>
  <si>
    <t>Jeans And</t>
  </si>
  <si>
    <t>Mark Jones</t>
  </si>
  <si>
    <t>Tablet Most</t>
  </si>
  <si>
    <t>Stephen Holloway</t>
  </si>
  <si>
    <t>Chair Red</t>
  </si>
  <si>
    <t>Eric Floyd</t>
  </si>
  <si>
    <t>Tablet Big</t>
  </si>
  <si>
    <t>Julie Adams</t>
  </si>
  <si>
    <t>Snacks Message</t>
  </si>
  <si>
    <t>Megan Charles</t>
  </si>
  <si>
    <t>Jeans Card</t>
  </si>
  <si>
    <t>Margaret Barton</t>
  </si>
  <si>
    <t>Chair Anyone</t>
  </si>
  <si>
    <t>Joshua Kim</t>
  </si>
  <si>
    <t>Chair Close</t>
  </si>
  <si>
    <t>David Dominguez</t>
  </si>
  <si>
    <t>Shoes Each</t>
  </si>
  <si>
    <t>Molly Hall</t>
  </si>
  <si>
    <t>Headphones Staff</t>
  </si>
  <si>
    <t>Brenda Stuart</t>
  </si>
  <si>
    <t>Laptop Picture</t>
  </si>
  <si>
    <t>Kimberly Alvarado</t>
  </si>
  <si>
    <t>Desk Prevent</t>
  </si>
  <si>
    <t>David Bennett</t>
  </si>
  <si>
    <t>Desk Bag</t>
  </si>
  <si>
    <t>Christine Kelly</t>
  </si>
  <si>
    <t>Jacket Executive</t>
  </si>
  <si>
    <t>Jenna Walker</t>
  </si>
  <si>
    <t>Couch Tonight</t>
  </si>
  <si>
    <t>Jennifer Ferguson</t>
  </si>
  <si>
    <t>Mobile Him</t>
  </si>
  <si>
    <t>Alexander Cox DDS</t>
  </si>
  <si>
    <t>Jacket Indeed</t>
  </si>
  <si>
    <t>Hailey Cobb</t>
  </si>
  <si>
    <t>Jacket Heart</t>
  </si>
  <si>
    <t>Christine Clay</t>
  </si>
  <si>
    <t>Cabinet Poor</t>
  </si>
  <si>
    <t>Shannon Brown</t>
  </si>
  <si>
    <t>Headphones Receive</t>
  </si>
  <si>
    <t>Sarah Browning</t>
  </si>
  <si>
    <t>Laptop Stock</t>
  </si>
  <si>
    <t>Gina Bush</t>
  </si>
  <si>
    <t>Laptop Environment</t>
  </si>
  <si>
    <t>Christopher Bartlett</t>
  </si>
  <si>
    <t>Bread Strong</t>
  </si>
  <si>
    <t>Maxwell Goodman</t>
  </si>
  <si>
    <t>Shoes Seven</t>
  </si>
  <si>
    <t>Katherine Wilson</t>
  </si>
  <si>
    <t>Snacks Turn</t>
  </si>
  <si>
    <t>Elizabeth Morse</t>
  </si>
  <si>
    <t>Desk Discussion</t>
  </si>
  <si>
    <t>Laura Smith</t>
  </si>
  <si>
    <t>Shoes Science</t>
  </si>
  <si>
    <t>Christopher Meyer</t>
  </si>
  <si>
    <t>Milk Best</t>
  </si>
  <si>
    <t>Tim Gross</t>
  </si>
  <si>
    <t>Bread By</t>
  </si>
  <si>
    <t>Scott Smith</t>
  </si>
  <si>
    <t>Milk Factor</t>
  </si>
  <si>
    <t>Evan Henry</t>
  </si>
  <si>
    <t>Bread City</t>
  </si>
  <si>
    <t>Eric Bell</t>
  </si>
  <si>
    <t>Headphones The</t>
  </si>
  <si>
    <t>Dylan Baxter</t>
  </si>
  <si>
    <t>Jeans Sound</t>
  </si>
  <si>
    <t>Brandon Callahan</t>
  </si>
  <si>
    <t>Snacks Lead</t>
  </si>
  <si>
    <t>Angela Stanton</t>
  </si>
  <si>
    <t>Cabinet None</t>
  </si>
  <si>
    <t>Marissa Aguilar</t>
  </si>
  <si>
    <t>Milk Listen</t>
  </si>
  <si>
    <t>Timothy Wheeler</t>
  </si>
  <si>
    <t>Shirt Area</t>
  </si>
  <si>
    <t>TOP CUSTOMERS</t>
  </si>
  <si>
    <t>Sum of total_price</t>
  </si>
  <si>
    <t>Count of order_id</t>
  </si>
  <si>
    <t>Grand Total</t>
  </si>
  <si>
    <t>Average Order Value Analysis</t>
  </si>
  <si>
    <t>Total Sales</t>
  </si>
  <si>
    <t>Number Of Orders</t>
  </si>
  <si>
    <t>Average Order Value</t>
  </si>
  <si>
    <t>1. Top Customers</t>
  </si>
  <si>
    <t>SELECT customer_name,</t>
  </si>
  <si>
    <t xml:space="preserve">       COUNT(order_id) AS total_orders,</t>
  </si>
  <si>
    <t xml:space="preserve">       SUM(total_price) AS total_purchase</t>
  </si>
  <si>
    <t>FROM imported_data</t>
  </si>
  <si>
    <t>GROUP BY customer_name</t>
  </si>
  <si>
    <t>ORDER BY total_purchase DESC;</t>
  </si>
  <si>
    <t>2. Average Order Value</t>
  </si>
  <si>
    <t>SELECT AVG(total_price) AS average_order_value</t>
  </si>
  <si>
    <t>FROM imported_data;</t>
  </si>
  <si>
    <t>3. Total Sales</t>
  </si>
  <si>
    <t>SELECT SUM(total_price) AS total_sales</t>
  </si>
  <si>
    <t>4. Number of Orders</t>
  </si>
  <si>
    <t>SELECT COUNT(order_id) AS number_of_orders</t>
  </si>
  <si>
    <t>5. Orders by Customer</t>
  </si>
  <si>
    <t xml:space="preserve">       COUNT(order_id) AS order_count</t>
  </si>
  <si>
    <t>ORDER BY order_count DESC;</t>
  </si>
  <si>
    <t>6. Sales by Customer</t>
  </si>
  <si>
    <t xml:space="preserve">       SUM(total_price) AS total_sales</t>
  </si>
  <si>
    <t>ORDER BY total_sales DESC;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</si>
</sst>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24"/>
      <color theme="8"/>
      <name val="Arial"/>
      <charset val="134"/>
    </font>
    <font>
      <b/>
      <sz val="16"/>
      <color theme="9"/>
      <name val="Arial"/>
      <charset val="134"/>
    </font>
    <font>
      <sz val="14"/>
      <color theme="1"/>
      <name val="Arial"/>
      <charset val="134"/>
    </font>
    <font>
      <b/>
      <sz val="16"/>
      <color theme="7"/>
      <name val="Arial"/>
      <charset val="134"/>
    </font>
    <font>
      <b/>
      <sz val="16"/>
      <color theme="6"/>
      <name val="Arial"/>
      <charset val="134"/>
    </font>
    <font>
      <b/>
      <sz val="18"/>
      <color theme="3"/>
      <name val="Arial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58" fontId="1" fillId="0" borderId="0" xfId="0" applyNumberFormat="1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" dbFileVersion="0" changeLogVersion="0">
    <open main="81" threadCnt="1"/>
    <sheetInfos>
      <sheetInfo cellCmpFml="0" sheetStid="1">
        <open main="6" threadCnt="1"/>
      </sheetInfo>
      <sheetInfo cellCmpFml="0" sheetStid="4">
        <open main="4" threadCnt="1"/>
      </sheetInfo>
      <sheetInfo cellCmpFml="3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4.7375925926" refreshedBy="Kuro Gaming" recordCount="200">
  <cacheSource type="worksheet">
    <worksheetSource ref="A1:J201" sheet="Sales_Data"/>
  </cacheSource>
  <cacheFields count="10">
    <cacheField name="order_id" numFmtId="0">
      <sharedItems containsSemiMixedTypes="0" containsString="0" containsNumber="1" containsInteger="1" minValue="0" maxValue="1199" count="200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</sharedItems>
    </cacheField>
    <cacheField name="customer_name" numFmtId="0">
      <sharedItems count="200">
        <s v="Caleb Davis"/>
        <s v="Misty Herrera"/>
        <s v="Rick Soto"/>
        <s v="Sean Haas"/>
        <s v="Ann Hall"/>
        <s v="Michelle White"/>
        <s v="Breanna Gonzalez"/>
        <s v="Angela Rivera"/>
        <s v="Emily Anderson"/>
        <s v="Laura Anderson"/>
        <s v="Ryan Smith"/>
        <s v="Valerie Hooper"/>
        <s v="Kyle Kirby"/>
        <s v="Barry Johnson"/>
        <s v="Dawn Edwards"/>
        <s v="Kylie Cox"/>
        <s v="Rachel Wilson"/>
        <s v="Tracy Williams"/>
        <s v="Richard Paul"/>
        <s v="Debbie Turner"/>
        <s v="Roy Stewart"/>
        <s v="Michelle Lucero"/>
        <s v="Benjamin Meadows"/>
        <s v="Nicholas Ruiz"/>
        <s v="Jodi Smith"/>
        <s v="Michael Meyer"/>
        <s v="Kerry Moore"/>
        <s v="Luis Ward"/>
        <s v="Abigail Powell"/>
        <s v="Nicholas Wallace"/>
        <s v="Ashley Joyce DVM"/>
        <s v="Robert Lewis"/>
        <s v="Mary Stewart"/>
        <s v="Emily Ray"/>
        <s v="James Smith"/>
        <s v="Bradley Wilson"/>
        <s v="John Hughes"/>
        <s v="Eric Anderson"/>
        <s v="Walter Pearson"/>
        <s v="Robert Bennett"/>
        <s v="Emily Collins"/>
        <s v="Neil Brown"/>
        <s v="David Norris"/>
        <s v="Matthew Leon"/>
        <s v="Becky Carrillo"/>
        <s v="Denise Wilson"/>
        <s v="Julian White"/>
        <s v="Larry Martinez"/>
        <s v="Debra Swanson"/>
        <s v="Melissa Ruiz"/>
        <s v="Laura Ramos"/>
        <s v="David Skinner"/>
        <s v="William Koch"/>
        <s v="Christine Bauer"/>
        <s v="Sharon Martinez"/>
        <s v="Whitney Levine"/>
        <s v="William Garcia"/>
        <s v="Matthew Conrad"/>
        <s v="Tara Garner"/>
        <s v="Miss Rebecca Levine"/>
        <s v="Rebecca Lozano"/>
        <s v="Sharon Cunningham"/>
        <s v="Jessica Hernandez"/>
        <s v="Jacob Henry"/>
        <s v="Brandon Rivera"/>
        <s v="Garrett Guerrero"/>
        <s v="Robert Lopez"/>
        <s v="Lauren Hill"/>
        <s v="Michael Taylor"/>
        <s v="Michele Wilson"/>
        <s v="Patrick Watson"/>
        <s v="Mr. Daniel Grant"/>
        <s v="Laura Hayes"/>
        <s v="Katie Jackson"/>
        <s v="Cassandra Wilkinson"/>
        <s v="Vanessa Matthews"/>
        <s v="Robert Horn"/>
        <s v="Amy Davis"/>
        <s v="Robin Fuller"/>
        <s v="Christopher Baker"/>
        <s v="James Ali"/>
        <s v="Mrs. Wendy Lin"/>
        <s v="Kenneth Lee"/>
        <s v="Erin Barker"/>
        <s v="Karen Ryan"/>
        <s v="Shelly Snyder"/>
        <s v="Michael Gutierrez"/>
        <s v="Jennifer Alexander"/>
        <s v="Gina Mckee"/>
        <s v="Maria Collins"/>
        <s v="Emily Bennett"/>
        <s v="Michael Saunders"/>
        <s v="Kevin Anderson"/>
        <s v="Kathleen Wilkins"/>
        <s v="Brittany Ray"/>
        <s v="Pam Tapia"/>
        <s v="Daniel Torres"/>
        <s v="Daniel Carter"/>
        <s v="Mary Garrett"/>
        <s v="Amanda Reeves"/>
        <s v="Meagan Mata"/>
        <s v="Cynthia Wright"/>
        <s v="Brittany Leblanc"/>
        <s v="Tracey Johnson"/>
        <s v="Brian Butler"/>
        <s v="George Hamilton"/>
        <s v="Tiffany Kerr"/>
        <s v="Stacy Brown"/>
        <s v="Joshua Myers"/>
        <s v="Scott Romero"/>
        <s v="John Martin"/>
        <s v="Willie Foster"/>
        <s v="Robert Kelley"/>
        <s v="Ronnie Brown"/>
        <s v="Stephanie Martinez"/>
        <s v="Gary Osborn"/>
        <s v="Ms. Sheila Davis MD"/>
        <s v="Michael Lyons"/>
        <s v="Joshua Nelson"/>
        <s v="Anna Brown"/>
        <s v="Rick Sanford"/>
        <s v="Amanda Woods"/>
        <s v="Courtney Ellis"/>
        <s v="Derrick Barry"/>
        <s v="Lori Thomas"/>
        <s v="Lynn Garrison"/>
        <s v="Zachary Jones"/>
        <s v="Mary Baldwin"/>
        <s v="Gregory Miller"/>
        <s v="Natalie Murphy"/>
        <s v="Tiffany Cook"/>
        <s v="Matthew Ross"/>
        <s v="Paul Kennedy"/>
        <s v="Aaron Mendoza"/>
        <s v="Sandra Taylor DDS"/>
        <s v="Richard Cooley"/>
        <s v="Natalie Kirby"/>
        <s v="Matthew Reese"/>
        <s v="Brian Long"/>
        <s v="Miguel Finley"/>
        <s v="Scott Johnston"/>
        <s v="Alicia Reynolds"/>
        <s v="Trevor Stuart"/>
        <s v="Matthew Arias"/>
        <s v="Antonio Roth"/>
        <s v="Sheila Booker"/>
        <s v="Anna Stone"/>
        <s v="Angela Jackson"/>
        <s v="Joshua Moore"/>
        <s v="Todd Barnes"/>
        <s v="Laura Maynard"/>
        <s v="Sara Morgan"/>
        <s v="Christopher Gillespie"/>
        <s v="Brandon Hoffman"/>
        <s v="Christine Watkins"/>
        <s v="Andrew Lopez"/>
        <s v="Deborah Glover"/>
        <s v="Patricia Gill"/>
        <s v="Timothy Conrad"/>
        <s v="Alan Barker"/>
        <s v="Michelle Beltran"/>
        <s v="Katherine Baker"/>
        <s v="Wayne Lucas"/>
        <s v="Tiffany Baker"/>
        <s v="Mark Jones"/>
        <s v="Stephen Holloway"/>
        <s v="Eric Floyd"/>
        <s v="Julie Adams"/>
        <s v="Megan Charles"/>
        <s v="Margaret Barton"/>
        <s v="Joshua Kim"/>
        <s v="David Dominguez"/>
        <s v="Molly Hall"/>
        <s v="Brenda Stuart"/>
        <s v="Kimberly Alvarado"/>
        <s v="David Bennett"/>
        <s v="Christine Kelly"/>
        <s v="Jenna Walker"/>
        <s v="Jennifer Ferguson"/>
        <s v="Alexander Cox DDS"/>
        <s v="Hailey Cobb"/>
        <s v="Christine Clay"/>
        <s v="Shannon Brown"/>
        <s v="Sarah Browning"/>
        <s v="Gina Bush"/>
        <s v="Christopher Bartlett"/>
        <s v="Maxwell Goodman"/>
        <s v="Katherine Wilson"/>
        <s v="Elizabeth Morse"/>
        <s v="Laura Smith"/>
        <s v="Christopher Meyer"/>
        <s v="Tim Gross"/>
        <s v="Scott Smith"/>
        <s v="Evan Henry"/>
        <s v="Eric Bell"/>
        <s v="Dylan Baxter"/>
        <s v="Brandon Callahan"/>
        <s v="Angela Stanton"/>
        <s v="Marissa Aguilar"/>
        <s v="Timothy Wheeler"/>
      </sharedItems>
    </cacheField>
    <cacheField name="order_date" numFmtId="58">
      <sharedItems containsSemiMixedTypes="0" containsString="0" containsNonDate="0" containsDate="1" minDate="2024-12-24T00:00:00" maxDate="2025-06-24T00:00:00" count="124">
        <d v="2025-01-31T00:00:00"/>
        <d v="2025-05-05T00:00:00"/>
        <d v="2025-06-09T00:00:00"/>
        <d v="2025-02-27T00:00:00"/>
        <d v="2025-06-01T00:00:00"/>
        <d v="2025-02-07T00:00:00"/>
        <d v="2025-04-09T00:00:00"/>
        <d v="2025-06-18T00:00:00"/>
        <d v="2025-02-28T00:00:00"/>
        <d v="2025-02-03T00:00:00"/>
        <d v="2025-01-07T00:00:00"/>
        <d v="2025-03-16T00:00:00"/>
        <d v="2025-01-26T00:00:00"/>
        <d v="2025-04-20T00:00:00"/>
        <d v="2025-05-30T00:00:00"/>
        <d v="2025-04-04T00:00:00"/>
        <d v="2025-03-14T00:00:00"/>
        <d v="2025-05-15T00:00:00"/>
        <d v="2025-03-22T00:00:00"/>
        <d v="2025-02-25T00:00:00"/>
        <d v="2025-04-21T00:00:00"/>
        <d v="2025-04-30T00:00:00"/>
        <d v="2025-06-16T00:00:00"/>
        <d v="2025-01-30T00:00:00"/>
        <d v="2025-01-09T00:00:00"/>
        <d v="2025-04-17T00:00:00"/>
        <d v="2025-05-23T00:00:00"/>
        <d v="2025-04-14T00:00:00"/>
        <d v="2025-05-11T00:00:00"/>
        <d v="2025-04-10T00:00:00"/>
        <d v="2025-01-06T00:00:00"/>
        <d v="2025-05-17T00:00:00"/>
        <d v="2025-02-09T00:00:00"/>
        <d v="2025-06-20T00:00:00"/>
        <d v="2025-01-23T00:00:00"/>
        <d v="2025-01-12T00:00:00"/>
        <d v="2025-03-02T00:00:00"/>
        <d v="2025-02-16T00:00:00"/>
        <d v="2025-03-15T00:00:00"/>
        <d v="2025-06-10T00:00:00"/>
        <d v="2025-01-16T00:00:00"/>
        <d v="2025-01-15T00:00:00"/>
        <d v="2025-04-24T00:00:00"/>
        <d v="2025-01-24T00:00:00"/>
        <d v="2025-02-23T00:00:00"/>
        <d v="2025-04-11T00:00:00"/>
        <d v="2025-02-26T00:00:00"/>
        <d v="2025-06-13T00:00:00"/>
        <d v="2025-03-24T00:00:00"/>
        <d v="2025-05-06T00:00:00"/>
        <d v="2025-01-13T00:00:00"/>
        <d v="2025-05-03T00:00:00"/>
        <d v="2025-04-23T00:00:00"/>
        <d v="2025-06-03T00:00:00"/>
        <d v="2025-04-03T00:00:00"/>
        <d v="2025-04-19T00:00:00"/>
        <d v="2025-05-01T00:00:00"/>
        <d v="2025-05-21T00:00:00"/>
        <d v="2025-06-12T00:00:00"/>
        <d v="2025-01-18T00:00:00"/>
        <d v="2025-03-20T00:00:00"/>
        <d v="2025-03-09T00:00:00"/>
        <d v="2025-06-07T00:00:00"/>
        <d v="2025-03-29T00:00:00"/>
        <d v="2025-06-06T00:00:00"/>
        <d v="2024-12-30T00:00:00"/>
        <d v="2025-03-13T00:00:00"/>
        <d v="2025-02-15T00:00:00"/>
        <d v="2025-06-19T00:00:00"/>
        <d v="2025-01-20T00:00:00"/>
        <d v="2025-04-12T00:00:00"/>
        <d v="2025-02-17T00:00:00"/>
        <d v="2025-03-11T00:00:00"/>
        <d v="2025-02-05T00:00:00"/>
        <d v="2025-05-12T00:00:00"/>
        <d v="2025-03-05T00:00:00"/>
        <d v="2025-02-02T00:00:00"/>
        <d v="2025-02-21T00:00:00"/>
        <d v="2025-04-05T00:00:00"/>
        <d v="2025-04-29T00:00:00"/>
        <d v="2025-06-08T00:00:00"/>
        <d v="2025-05-25T00:00:00"/>
        <d v="2025-01-22T00:00:00"/>
        <d v="2025-06-05T00:00:00"/>
        <d v="2025-05-31T00:00:00"/>
        <d v="2025-03-31T00:00:00"/>
        <d v="2025-01-17T00:00:00"/>
        <d v="2025-05-08T00:00:00"/>
        <d v="2025-02-06T00:00:00"/>
        <d v="2025-02-14T00:00:00"/>
        <d v="2024-12-24T00:00:00"/>
        <d v="2025-03-19T00:00:00"/>
        <d v="2025-01-10T00:00:00"/>
        <d v="2025-01-27T00:00:00"/>
        <d v="2025-04-18T00:00:00"/>
        <d v="2025-05-14T00:00:00"/>
        <d v="2025-01-01T00:00:00"/>
        <d v="2025-06-11T00:00:00"/>
        <d v="2025-03-28T00:00:00"/>
        <d v="2025-05-09T00:00:00"/>
        <d v="2025-03-03T00:00:00"/>
        <d v="2025-06-22T00:00:00"/>
        <d v="2025-05-24T00:00:00"/>
        <d v="2025-02-04T00:00:00"/>
        <d v="2024-12-26T00:00:00"/>
        <d v="2025-03-23T00:00:00"/>
        <d v="2025-01-14T00:00:00"/>
        <d v="2025-06-02T00:00:00"/>
        <d v="2025-01-02T00:00:00"/>
        <d v="2025-03-30T00:00:00"/>
        <d v="2025-03-12T00:00:00"/>
        <d v="2025-03-07T00:00:00"/>
        <d v="2025-03-26T00:00:00"/>
        <d v="2025-06-24T00:00:00"/>
        <d v="2025-03-06T00:00:00"/>
        <d v="2025-04-06T00:00:00"/>
        <d v="2025-02-19T00:00:00"/>
        <d v="2025-03-08T00:00:00"/>
        <d v="2025-05-20T00:00:00"/>
        <d v="2025-05-26T00:00:00"/>
        <d v="2025-01-19T00:00:00"/>
        <d v="2025-04-02T00:00:00"/>
        <d v="2025-04-07T00:00:00"/>
        <d v="2025-01-29T00:00:00"/>
      </sharedItems>
    </cacheField>
    <cacheField name="category" numFmtId="0">
      <sharedItems count="4">
        <s v="Clothing"/>
        <s v="Furniture"/>
        <s v="Grocery"/>
        <s v="Electronics"/>
      </sharedItems>
    </cacheField>
    <cacheField name="sub_category" numFmtId="0">
      <sharedItems count="16">
        <s v="Jeans"/>
        <s v="Shoes"/>
        <s v="Desk"/>
        <s v="Cabinet"/>
        <s v="Bread"/>
        <s v="Chair"/>
        <s v="Mobile"/>
        <s v="Snacks"/>
        <s v="Laptop"/>
        <s v="Couch"/>
        <s v="Juice"/>
        <s v="Shirt"/>
        <s v="Milk"/>
        <s v="Headphones"/>
        <s v="Jacket"/>
        <s v="Tablet"/>
      </sharedItems>
    </cacheField>
    <cacheField name="product_name" numFmtId="0">
      <sharedItems count="200">
        <s v="Jeans Try"/>
        <s v="Jeans New"/>
        <s v="Shoes Us"/>
        <s v="Desk Section"/>
        <s v="Cabinet Center"/>
        <s v="Desk Point"/>
        <s v="Bread Black"/>
        <s v="Chair Believe"/>
        <s v="Mobile Evening"/>
        <s v="Snacks Capital"/>
        <s v="Laptop Find"/>
        <s v="Couch Charge"/>
        <s v="Juice Country"/>
        <s v="Juice Staff"/>
        <s v="Juice Quality"/>
        <s v="Jeans Few"/>
        <s v="Bread Skin"/>
        <s v="Jeans Song"/>
        <s v="Cabinet Almost"/>
        <s v="Snacks Some"/>
        <s v="Mobile Change"/>
        <s v="Shirt Carry"/>
        <s v="Shoes Job"/>
        <s v="Cabinet Treatment"/>
        <s v="Bread Pass"/>
        <s v="Chair Continue"/>
        <s v="Bread Baby"/>
        <s v="Desk Financial"/>
        <s v="Shoes Hear"/>
        <s v="Milk Young"/>
        <s v="Headphones Your"/>
        <s v="Couch Back"/>
        <s v="Bread Too"/>
        <s v="Laptop Sea"/>
        <s v="Snacks Article"/>
        <s v="Bread Something"/>
        <s v="Couch Four"/>
        <s v="Cabinet Him"/>
        <s v="Laptop Member"/>
        <s v="Desk Show"/>
        <s v="Juice Together"/>
        <s v="Chair Debate"/>
        <s v="Shoes Far"/>
        <s v="Jacket Camera"/>
        <s v="Tablet Property"/>
        <s v="Snacks Positive"/>
        <s v="Chair Amount"/>
        <s v="Snacks Live"/>
        <s v="Chair Who"/>
        <s v="Shoes Seem"/>
        <s v="Mobile Democrat"/>
        <s v="Jacket Ready"/>
        <s v="Bread Support"/>
        <s v="Shirt Community"/>
        <s v="Couch Mother"/>
        <s v="Mobile Part"/>
        <s v="Cabinet Worker"/>
        <s v="Milk Town"/>
        <s v="Jeans Food"/>
        <s v="Shirt Look"/>
        <s v="Chair Evening"/>
        <s v="Bread Theory"/>
        <s v="Shoes Care"/>
        <s v="Tablet Job"/>
        <s v="Tablet Idea"/>
        <s v="Couch View"/>
        <s v="Jeans Cut"/>
        <s v="Laptop Staff"/>
        <s v="Couch Sign"/>
        <s v="Mobile Body"/>
        <s v="Desk Would"/>
        <s v="Cabinet American"/>
        <s v="Cabinet Rich"/>
        <s v="Headphones Within"/>
        <s v="Laptop Value"/>
        <s v="Laptop Land"/>
        <s v="Tablet Improve"/>
        <s v="Chair Food"/>
        <s v="Snacks Into"/>
        <s v="Jacket Exactly"/>
        <s v="Headphones Above"/>
        <s v="Desk Place"/>
        <s v="Jacket Realize"/>
        <s v="Couch Thank"/>
        <s v="Cabinet Instead"/>
        <s v="Cabinet These"/>
        <s v="Headphones Just"/>
        <s v="Mobile All"/>
        <s v="Cabinet Occur"/>
        <s v="Tablet My"/>
        <s v="Laptop International"/>
        <s v="Couch Need"/>
        <s v="Shoes Himself"/>
        <s v="Bread Thousand"/>
        <s v="Tablet Get"/>
        <s v="Bread Wide"/>
        <s v="Tablet Contain"/>
        <s v="Headphones Career"/>
        <s v="Milk Executive"/>
        <s v="Jeans Family"/>
        <s v="Headphones Professional"/>
        <s v="Tablet Matter"/>
        <s v="Shirt Civil"/>
        <s v="Tablet Left"/>
        <s v="Headphones Should"/>
        <s v="Juice Sort"/>
        <s v="Desk Fill"/>
        <s v="Chair Security"/>
        <s v="Snacks Recognize"/>
        <s v="Juice Particularly"/>
        <s v="Mobile Choice"/>
        <s v="Shoes Church"/>
        <s v="Shirt Southern"/>
        <s v="Milk Seek"/>
        <s v="Milk Position"/>
        <s v="Tablet Word"/>
        <s v="Cabinet Alone"/>
        <s v="Milk Ball"/>
        <s v="Mobile Budget"/>
        <s v="Chair Finally"/>
        <s v="Chair After"/>
        <s v="Tablet Forward"/>
        <s v="Bread Society"/>
        <s v="Snacks Energy"/>
        <s v="Mobile Student"/>
        <s v="Snacks Wish"/>
        <s v="Laptop Concern"/>
        <s v="Chair Open"/>
        <s v="Jacket Image"/>
        <s v="Mobile Protect"/>
        <s v="Chair High"/>
        <s v="Cabinet Car"/>
        <s v="Jeans Perhaps"/>
        <s v="Milk Official"/>
        <s v="Cabinet Whom"/>
        <s v="Cabinet Much"/>
        <s v="Shirt Discuss"/>
        <s v="Chair That"/>
        <s v="Shirt Throughout"/>
        <s v="Couch Fire"/>
        <s v="Juice Usually"/>
        <s v="Snacks Religious"/>
        <s v="Cabinet If"/>
        <s v="Laptop Skill"/>
        <s v="Headphones Against"/>
        <s v="Laptop Resource"/>
        <s v="Snacks Season"/>
        <s v="Milk Establish"/>
        <s v="Cabinet Office"/>
        <s v="Chair Hope"/>
        <s v="Headphones Cold"/>
        <s v="Desk Put"/>
        <s v="Snacks Budget"/>
        <s v="Laptop Next"/>
        <s v="Juice Bar"/>
        <s v="Headphones Too"/>
        <s v="Chair Push"/>
        <s v="Jacket Song"/>
        <s v="Milk Little"/>
        <s v="Mobile Employee"/>
        <s v="Desk Me"/>
        <s v="Shoes Visit"/>
        <s v="Chair Impact"/>
        <s v="Jeans And"/>
        <s v="Tablet Most"/>
        <s v="Chair Red"/>
        <s v="Tablet Big"/>
        <s v="Snacks Message"/>
        <s v="Jeans Card"/>
        <s v="Chair Anyone"/>
        <s v="Chair Close"/>
        <s v="Shoes Each"/>
        <s v="Headphones Staff"/>
        <s v="Laptop Picture"/>
        <s v="Desk Prevent"/>
        <s v="Desk Bag"/>
        <s v="Jacket Executive"/>
        <s v="Couch Tonight"/>
        <s v="Mobile Him"/>
        <s v="Jacket Indeed"/>
        <s v="Jacket Heart"/>
        <s v="Cabinet Poor"/>
        <s v="Headphones Receive"/>
        <s v="Laptop Stock"/>
        <s v="Laptop Environment"/>
        <s v="Bread Strong"/>
        <s v="Shoes Seven"/>
        <s v="Snacks Turn"/>
        <s v="Desk Discussion"/>
        <s v="Shoes Science"/>
        <s v="Milk Best"/>
        <s v="Bread By"/>
        <s v="Milk Factor"/>
        <s v="Bread City"/>
        <s v="Headphones The"/>
        <s v="Jeans Sound"/>
        <s v="Snacks Lead"/>
        <s v="Cabinet None"/>
        <s v="Milk Listen"/>
        <s v="Shirt Area"/>
      </sharedItems>
    </cacheField>
    <cacheField name="quantity" numFmtId="0">
      <sharedItems containsSemiMixedTypes="0" containsString="0" containsNumber="1" containsInteger="1" minValue="0" maxValue="10" count="10">
        <n v="2"/>
        <n v="9"/>
        <n v="5"/>
        <n v="10"/>
        <n v="6"/>
        <n v="7"/>
        <n v="1"/>
        <n v="3"/>
        <n v="8"/>
        <n v="4"/>
      </sharedItems>
    </cacheField>
    <cacheField name="unit_price" numFmtId="0">
      <sharedItems containsSemiMixedTypes="0" containsString="0" containsNumber="1" containsInteger="1" minValue="0" maxValue="4997" count="197">
        <n v="1197"/>
        <n v="1509"/>
        <n v="1046"/>
        <n v="292"/>
        <n v="548"/>
        <n v="2729"/>
        <n v="4356"/>
        <n v="2971"/>
        <n v="701"/>
        <n v="4454"/>
        <n v="4917"/>
        <n v="1759"/>
        <n v="781"/>
        <n v="2754"/>
        <n v="737"/>
        <n v="1559"/>
        <n v="2413"/>
        <n v="3222"/>
        <n v="4966"/>
        <n v="4499"/>
        <n v="2660"/>
        <n v="732"/>
        <n v="2056"/>
        <n v="262"/>
        <n v="4511"/>
        <n v="1360"/>
        <n v="2262"/>
        <n v="1711"/>
        <n v="2195"/>
        <n v="1305"/>
        <n v="2864"/>
        <n v="1142"/>
        <n v="1054"/>
        <n v="2564"/>
        <n v="1006"/>
        <n v="2671"/>
        <n v="3500"/>
        <n v="253"/>
        <n v="2697"/>
        <n v="998"/>
        <n v="847"/>
        <n v="3445"/>
        <n v="2410"/>
        <n v="1351"/>
        <n v="3160"/>
        <n v="1397"/>
        <n v="1029"/>
        <n v="2006"/>
        <n v="1900"/>
        <n v="1892"/>
        <n v="496"/>
        <n v="3550"/>
        <n v="270"/>
        <n v="3885"/>
        <n v="4750"/>
        <n v="1201"/>
        <n v="4977"/>
        <n v="203"/>
        <n v="4794"/>
        <n v="390"/>
        <n v="3153"/>
        <n v="3208"/>
        <n v="4327"/>
        <n v="3337"/>
        <n v="4216"/>
        <n v="4553"/>
        <n v="3649"/>
        <n v="2763"/>
        <n v="2320"/>
        <n v="4710"/>
        <n v="4448"/>
        <n v="2151"/>
        <n v="4663"/>
        <n v="2431"/>
        <n v="1188"/>
        <n v="263"/>
        <n v="247"/>
        <n v="549"/>
        <n v="972"/>
        <n v="990"/>
        <n v="3486"/>
        <n v="1533"/>
        <n v="870"/>
        <n v="2067"/>
        <n v="949"/>
        <n v="1432"/>
        <n v="2396"/>
        <n v="3040"/>
        <n v="4298"/>
        <n v="3773"/>
        <n v="2664"/>
        <n v="4479"/>
        <n v="3230"/>
        <n v="4005"/>
        <n v="3698"/>
        <n v="643"/>
        <n v="1830"/>
        <n v="4419"/>
        <n v="442"/>
        <n v="629"/>
        <n v="1864"/>
        <n v="2895"/>
        <n v="3585"/>
        <n v="97"/>
        <n v="4569"/>
        <n v="4643"/>
        <n v="243"/>
        <n v="3121"/>
        <n v="3426"/>
        <n v="2149"/>
        <n v="1417"/>
        <n v="2418"/>
        <n v="4322"/>
        <n v="3236"/>
        <n v="3843"/>
        <n v="1568"/>
        <n v="2734"/>
        <n v="1556"/>
        <n v="4579"/>
        <n v="2398"/>
        <n v="3487"/>
        <n v="1473"/>
        <n v="545"/>
        <n v="2162"/>
        <n v="2834"/>
        <n v="2822"/>
        <n v="79"/>
        <n v="3372"/>
        <n v="3063"/>
        <n v="515"/>
        <n v="2037"/>
        <n v="3981"/>
        <n v="1227"/>
        <n v="86"/>
        <n v="3508"/>
        <n v="877"/>
        <n v="844"/>
        <n v="3539"/>
        <n v="745"/>
        <n v="2106"/>
        <n v="3488"/>
        <n v="297"/>
        <n v="1831"/>
        <n v="1796"/>
        <n v="1503"/>
        <n v="2307"/>
        <n v="4519"/>
        <n v="4997"/>
        <n v="2344"/>
        <n v="283"/>
        <n v="4009"/>
        <n v="4996"/>
        <n v="1649"/>
        <n v="593"/>
        <n v="3915"/>
        <n v="4903"/>
        <n v="363"/>
        <n v="4719"/>
        <n v="3176"/>
        <n v="2876"/>
        <n v="2583"/>
        <n v="1032"/>
        <n v="1304"/>
        <n v="3926"/>
        <n v="4444"/>
        <n v="4462"/>
        <n v="2528"/>
        <n v="2140"/>
        <n v="2902"/>
        <n v="1847"/>
        <n v="3982"/>
        <n v="4536"/>
        <n v="2717"/>
        <n v="668"/>
        <n v="4199"/>
        <n v="209"/>
        <n v="1464"/>
        <n v="4285"/>
        <n v="3057"/>
        <n v="4594"/>
        <n v="1511"/>
        <n v="3466"/>
        <n v="3087"/>
        <n v="4077"/>
        <n v="500"/>
        <n v="3346"/>
        <n v="1358"/>
        <n v="4665"/>
        <n v="4799"/>
        <n v="727"/>
        <n v="2351"/>
        <n v="2202"/>
        <n v="798"/>
        <n v="3116"/>
        <n v="1396"/>
        <n v="461"/>
        <n v="2299"/>
      </sharedItems>
    </cacheField>
    <cacheField name="total_price" numFmtId="0">
      <sharedItems containsSemiMixedTypes="0" containsString="0" containsNumber="1" containsInteger="1" minValue="0" maxValue="47940" count="199">
        <n v="2394"/>
        <n v="13581"/>
        <n v="5230"/>
        <n v="2920"/>
        <n v="1096"/>
        <n v="5458"/>
        <n v="26136"/>
        <n v="20797"/>
        <n v="7010"/>
        <n v="4454"/>
        <n v="9834"/>
        <n v="17590"/>
        <n v="7810"/>
        <n v="2754"/>
        <n v="5159"/>
        <n v="4677"/>
        <n v="4826"/>
        <n v="9666"/>
        <n v="29796"/>
        <n v="44990"/>
        <n v="13300"/>
        <n v="1464"/>
        <n v="20560"/>
        <n v="262"/>
        <n v="27066"/>
        <n v="2720"/>
        <n v="18096"/>
        <n v="1711"/>
        <n v="2195"/>
        <n v="11745"/>
        <n v="25776"/>
        <n v="4568"/>
        <n v="6324"/>
        <n v="15384"/>
        <n v="3836"/>
        <n v="9054"/>
        <n v="13355"/>
        <n v="3500"/>
        <n v="253"/>
        <n v="13485"/>
        <n v="6986"/>
        <n v="847"/>
        <n v="24115"/>
        <n v="2410"/>
        <n v="5404"/>
        <n v="6320"/>
        <n v="13970"/>
        <n v="5145"/>
        <n v="6018"/>
        <n v="5676"/>
        <n v="1488"/>
        <n v="17750"/>
        <n v="2430"/>
        <n v="3885"/>
        <n v="9500"/>
        <n v="1201"/>
        <n v="9954"/>
        <n v="1015"/>
        <n v="28764"/>
        <n v="390"/>
        <n v="28377"/>
        <n v="22456"/>
        <n v="4327"/>
        <n v="6674"/>
        <n v="25296"/>
        <n v="9106"/>
        <n v="29192"/>
        <n v="2763"/>
        <n v="20880"/>
        <n v="37680"/>
        <n v="17792"/>
        <n v="15057"/>
        <n v="9326"/>
        <n v="21879"/>
        <n v="812"/>
        <n v="4752"/>
        <n v="2367"/>
        <n v="988"/>
        <n v="2745"/>
        <n v="1944"/>
        <n v="2970"/>
        <n v="24402"/>
        <n v="4599"/>
        <n v="7830"/>
        <n v="18603"/>
        <n v="949"/>
        <n v="8592"/>
        <n v="9584"/>
        <n v="12160"/>
        <n v="4298"/>
        <n v="15092"/>
        <n v="21312"/>
        <n v="26874"/>
        <n v="19380"/>
        <n v="12015"/>
        <n v="25886"/>
        <n v="1286"/>
        <n v="5490"/>
        <n v="22095"/>
        <n v="884"/>
        <n v="629"/>
        <n v="7456"/>
        <n v="11580"/>
        <n v="17925"/>
        <n v="970"/>
        <n v="13707"/>
        <n v="4643"/>
        <n v="243"/>
        <n v="9363"/>
        <n v="27408"/>
        <n v="19341"/>
        <n v="4251"/>
        <n v="21762"/>
        <n v="34576"/>
        <n v="29124"/>
        <n v="23058"/>
        <n v="14112"/>
        <n v="13670"/>
        <n v="4668"/>
        <n v="41211"/>
        <n v="4796"/>
        <n v="27896"/>
        <n v="2946"/>
        <n v="545"/>
        <n v="47940"/>
        <n v="21620"/>
        <n v="2834"/>
        <n v="22576"/>
        <n v="79"/>
        <n v="10116"/>
        <n v="18378"/>
        <n v="3090"/>
        <n v="4074"/>
        <n v="27867"/>
        <n v="6135"/>
        <n v="602"/>
        <n v="21048"/>
        <n v="8770"/>
        <n v="844"/>
        <n v="10617"/>
        <n v="745"/>
        <n v="18954"/>
        <n v="24416"/>
        <n v="891"/>
        <n v="12817"/>
        <n v="17960"/>
        <n v="13527"/>
        <n v="18456"/>
        <n v="36152"/>
        <n v="9994"/>
        <n v="4688"/>
        <n v="1981"/>
        <n v="24054"/>
        <n v="19984"/>
        <n v="4947"/>
        <n v="593"/>
        <n v="27405"/>
        <n v="29418"/>
        <n v="1089"/>
        <n v="42471"/>
        <n v="6352"/>
        <n v="2876"/>
        <n v="2583"/>
        <n v="3096"/>
        <n v="5216"/>
        <n v="3926"/>
        <n v="31108"/>
        <n v="44620"/>
        <n v="17696"/>
        <n v="14980"/>
        <n v="23216"/>
        <n v="1847"/>
        <n v="3982"/>
        <n v="31752"/>
        <n v="24453"/>
        <n v="6012"/>
        <n v="4199"/>
        <n v="836"/>
        <n v="11712"/>
        <n v="25710"/>
        <n v="6114"/>
        <n v="27564"/>
        <n v="1511"/>
        <n v="31194"/>
        <n v="9261"/>
        <n v="8154"/>
        <n v="500"/>
        <n v="6692"/>
        <n v="12222"/>
        <n v="37320"/>
        <n v="14397"/>
        <n v="727"/>
        <n v="16457"/>
        <n v="4404"/>
        <n v="5586"/>
        <n v="9348"/>
        <n v="1396"/>
        <n v="2766"/>
        <n v="9196"/>
      </sharedItems>
    </cacheField>
    <cacheField name="region" numFmtId="0">
      <sharedItems count="4">
        <s v="West"/>
        <s v="South"/>
        <s v="East"/>
        <s v="Nort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1"/>
    <x v="1"/>
    <x v="1"/>
  </r>
  <r>
    <x v="2"/>
    <x v="2"/>
    <x v="2"/>
    <x v="0"/>
    <x v="1"/>
    <x v="2"/>
    <x v="2"/>
    <x v="2"/>
    <x v="2"/>
    <x v="2"/>
  </r>
  <r>
    <x v="3"/>
    <x v="3"/>
    <x v="3"/>
    <x v="1"/>
    <x v="2"/>
    <x v="3"/>
    <x v="3"/>
    <x v="3"/>
    <x v="3"/>
    <x v="1"/>
  </r>
  <r>
    <x v="4"/>
    <x v="4"/>
    <x v="4"/>
    <x v="1"/>
    <x v="3"/>
    <x v="4"/>
    <x v="0"/>
    <x v="4"/>
    <x v="4"/>
    <x v="3"/>
  </r>
  <r>
    <x v="5"/>
    <x v="5"/>
    <x v="5"/>
    <x v="1"/>
    <x v="2"/>
    <x v="5"/>
    <x v="0"/>
    <x v="5"/>
    <x v="5"/>
    <x v="1"/>
  </r>
  <r>
    <x v="6"/>
    <x v="6"/>
    <x v="6"/>
    <x v="2"/>
    <x v="4"/>
    <x v="6"/>
    <x v="4"/>
    <x v="6"/>
    <x v="6"/>
    <x v="2"/>
  </r>
  <r>
    <x v="7"/>
    <x v="7"/>
    <x v="7"/>
    <x v="1"/>
    <x v="5"/>
    <x v="7"/>
    <x v="5"/>
    <x v="7"/>
    <x v="7"/>
    <x v="0"/>
  </r>
  <r>
    <x v="8"/>
    <x v="8"/>
    <x v="8"/>
    <x v="3"/>
    <x v="6"/>
    <x v="8"/>
    <x v="3"/>
    <x v="8"/>
    <x v="8"/>
    <x v="3"/>
  </r>
  <r>
    <x v="9"/>
    <x v="9"/>
    <x v="9"/>
    <x v="2"/>
    <x v="7"/>
    <x v="9"/>
    <x v="6"/>
    <x v="9"/>
    <x v="9"/>
    <x v="2"/>
  </r>
  <r>
    <x v="10"/>
    <x v="10"/>
    <x v="10"/>
    <x v="3"/>
    <x v="8"/>
    <x v="10"/>
    <x v="0"/>
    <x v="10"/>
    <x v="10"/>
    <x v="1"/>
  </r>
  <r>
    <x v="11"/>
    <x v="11"/>
    <x v="11"/>
    <x v="1"/>
    <x v="9"/>
    <x v="11"/>
    <x v="3"/>
    <x v="11"/>
    <x v="11"/>
    <x v="0"/>
  </r>
  <r>
    <x v="12"/>
    <x v="12"/>
    <x v="12"/>
    <x v="2"/>
    <x v="10"/>
    <x v="12"/>
    <x v="3"/>
    <x v="12"/>
    <x v="12"/>
    <x v="1"/>
  </r>
  <r>
    <x v="13"/>
    <x v="13"/>
    <x v="13"/>
    <x v="2"/>
    <x v="10"/>
    <x v="13"/>
    <x v="6"/>
    <x v="13"/>
    <x v="13"/>
    <x v="2"/>
  </r>
  <r>
    <x v="14"/>
    <x v="14"/>
    <x v="14"/>
    <x v="2"/>
    <x v="10"/>
    <x v="14"/>
    <x v="5"/>
    <x v="14"/>
    <x v="14"/>
    <x v="1"/>
  </r>
  <r>
    <x v="15"/>
    <x v="15"/>
    <x v="1"/>
    <x v="0"/>
    <x v="0"/>
    <x v="15"/>
    <x v="7"/>
    <x v="15"/>
    <x v="15"/>
    <x v="2"/>
  </r>
  <r>
    <x v="16"/>
    <x v="16"/>
    <x v="15"/>
    <x v="2"/>
    <x v="4"/>
    <x v="16"/>
    <x v="0"/>
    <x v="16"/>
    <x v="16"/>
    <x v="0"/>
  </r>
  <r>
    <x v="17"/>
    <x v="17"/>
    <x v="16"/>
    <x v="0"/>
    <x v="0"/>
    <x v="17"/>
    <x v="7"/>
    <x v="17"/>
    <x v="17"/>
    <x v="1"/>
  </r>
  <r>
    <x v="18"/>
    <x v="18"/>
    <x v="17"/>
    <x v="1"/>
    <x v="3"/>
    <x v="18"/>
    <x v="4"/>
    <x v="18"/>
    <x v="18"/>
    <x v="3"/>
  </r>
  <r>
    <x v="19"/>
    <x v="19"/>
    <x v="18"/>
    <x v="2"/>
    <x v="7"/>
    <x v="19"/>
    <x v="3"/>
    <x v="19"/>
    <x v="19"/>
    <x v="0"/>
  </r>
  <r>
    <x v="20"/>
    <x v="20"/>
    <x v="19"/>
    <x v="3"/>
    <x v="6"/>
    <x v="20"/>
    <x v="2"/>
    <x v="20"/>
    <x v="20"/>
    <x v="3"/>
  </r>
  <r>
    <x v="21"/>
    <x v="21"/>
    <x v="20"/>
    <x v="0"/>
    <x v="11"/>
    <x v="21"/>
    <x v="0"/>
    <x v="21"/>
    <x v="21"/>
    <x v="3"/>
  </r>
  <r>
    <x v="22"/>
    <x v="22"/>
    <x v="21"/>
    <x v="0"/>
    <x v="1"/>
    <x v="22"/>
    <x v="3"/>
    <x v="22"/>
    <x v="22"/>
    <x v="2"/>
  </r>
  <r>
    <x v="23"/>
    <x v="23"/>
    <x v="22"/>
    <x v="1"/>
    <x v="3"/>
    <x v="23"/>
    <x v="6"/>
    <x v="23"/>
    <x v="23"/>
    <x v="2"/>
  </r>
  <r>
    <x v="24"/>
    <x v="24"/>
    <x v="23"/>
    <x v="2"/>
    <x v="4"/>
    <x v="24"/>
    <x v="4"/>
    <x v="24"/>
    <x v="24"/>
    <x v="2"/>
  </r>
  <r>
    <x v="25"/>
    <x v="25"/>
    <x v="11"/>
    <x v="1"/>
    <x v="5"/>
    <x v="25"/>
    <x v="0"/>
    <x v="25"/>
    <x v="25"/>
    <x v="1"/>
  </r>
  <r>
    <x v="26"/>
    <x v="26"/>
    <x v="24"/>
    <x v="2"/>
    <x v="4"/>
    <x v="26"/>
    <x v="8"/>
    <x v="26"/>
    <x v="26"/>
    <x v="1"/>
  </r>
  <r>
    <x v="27"/>
    <x v="27"/>
    <x v="25"/>
    <x v="1"/>
    <x v="2"/>
    <x v="27"/>
    <x v="6"/>
    <x v="27"/>
    <x v="27"/>
    <x v="3"/>
  </r>
  <r>
    <x v="28"/>
    <x v="28"/>
    <x v="26"/>
    <x v="0"/>
    <x v="1"/>
    <x v="28"/>
    <x v="6"/>
    <x v="28"/>
    <x v="28"/>
    <x v="0"/>
  </r>
  <r>
    <x v="29"/>
    <x v="29"/>
    <x v="27"/>
    <x v="2"/>
    <x v="12"/>
    <x v="29"/>
    <x v="1"/>
    <x v="29"/>
    <x v="29"/>
    <x v="2"/>
  </r>
  <r>
    <x v="30"/>
    <x v="30"/>
    <x v="28"/>
    <x v="3"/>
    <x v="13"/>
    <x v="30"/>
    <x v="1"/>
    <x v="30"/>
    <x v="30"/>
    <x v="1"/>
  </r>
  <r>
    <x v="31"/>
    <x v="31"/>
    <x v="29"/>
    <x v="1"/>
    <x v="9"/>
    <x v="31"/>
    <x v="9"/>
    <x v="31"/>
    <x v="31"/>
    <x v="3"/>
  </r>
  <r>
    <x v="32"/>
    <x v="32"/>
    <x v="30"/>
    <x v="2"/>
    <x v="4"/>
    <x v="32"/>
    <x v="4"/>
    <x v="32"/>
    <x v="32"/>
    <x v="2"/>
  </r>
  <r>
    <x v="33"/>
    <x v="33"/>
    <x v="31"/>
    <x v="3"/>
    <x v="8"/>
    <x v="33"/>
    <x v="4"/>
    <x v="33"/>
    <x v="33"/>
    <x v="3"/>
  </r>
  <r>
    <x v="34"/>
    <x v="34"/>
    <x v="32"/>
    <x v="2"/>
    <x v="7"/>
    <x v="34"/>
    <x v="5"/>
    <x v="4"/>
    <x v="34"/>
    <x v="2"/>
  </r>
  <r>
    <x v="35"/>
    <x v="35"/>
    <x v="33"/>
    <x v="2"/>
    <x v="4"/>
    <x v="35"/>
    <x v="1"/>
    <x v="34"/>
    <x v="35"/>
    <x v="0"/>
  </r>
  <r>
    <x v="36"/>
    <x v="36"/>
    <x v="34"/>
    <x v="1"/>
    <x v="9"/>
    <x v="36"/>
    <x v="2"/>
    <x v="35"/>
    <x v="36"/>
    <x v="0"/>
  </r>
  <r>
    <x v="37"/>
    <x v="37"/>
    <x v="35"/>
    <x v="1"/>
    <x v="3"/>
    <x v="37"/>
    <x v="6"/>
    <x v="36"/>
    <x v="37"/>
    <x v="0"/>
  </r>
  <r>
    <x v="38"/>
    <x v="38"/>
    <x v="36"/>
    <x v="3"/>
    <x v="8"/>
    <x v="38"/>
    <x v="6"/>
    <x v="37"/>
    <x v="38"/>
    <x v="3"/>
  </r>
  <r>
    <x v="39"/>
    <x v="39"/>
    <x v="37"/>
    <x v="1"/>
    <x v="2"/>
    <x v="39"/>
    <x v="2"/>
    <x v="38"/>
    <x v="39"/>
    <x v="0"/>
  </r>
  <r>
    <x v="40"/>
    <x v="40"/>
    <x v="4"/>
    <x v="2"/>
    <x v="10"/>
    <x v="40"/>
    <x v="5"/>
    <x v="39"/>
    <x v="40"/>
    <x v="3"/>
  </r>
  <r>
    <x v="41"/>
    <x v="41"/>
    <x v="38"/>
    <x v="1"/>
    <x v="5"/>
    <x v="41"/>
    <x v="6"/>
    <x v="40"/>
    <x v="41"/>
    <x v="1"/>
  </r>
  <r>
    <x v="42"/>
    <x v="42"/>
    <x v="39"/>
    <x v="0"/>
    <x v="1"/>
    <x v="42"/>
    <x v="5"/>
    <x v="41"/>
    <x v="42"/>
    <x v="1"/>
  </r>
  <r>
    <x v="43"/>
    <x v="43"/>
    <x v="40"/>
    <x v="0"/>
    <x v="14"/>
    <x v="43"/>
    <x v="6"/>
    <x v="42"/>
    <x v="43"/>
    <x v="1"/>
  </r>
  <r>
    <x v="44"/>
    <x v="44"/>
    <x v="41"/>
    <x v="3"/>
    <x v="15"/>
    <x v="44"/>
    <x v="9"/>
    <x v="43"/>
    <x v="44"/>
    <x v="3"/>
  </r>
  <r>
    <x v="45"/>
    <x v="45"/>
    <x v="42"/>
    <x v="2"/>
    <x v="7"/>
    <x v="45"/>
    <x v="0"/>
    <x v="44"/>
    <x v="45"/>
    <x v="1"/>
  </r>
  <r>
    <x v="46"/>
    <x v="46"/>
    <x v="43"/>
    <x v="1"/>
    <x v="5"/>
    <x v="46"/>
    <x v="3"/>
    <x v="45"/>
    <x v="46"/>
    <x v="2"/>
  </r>
  <r>
    <x v="47"/>
    <x v="47"/>
    <x v="44"/>
    <x v="2"/>
    <x v="7"/>
    <x v="47"/>
    <x v="2"/>
    <x v="46"/>
    <x v="47"/>
    <x v="1"/>
  </r>
  <r>
    <x v="48"/>
    <x v="48"/>
    <x v="43"/>
    <x v="1"/>
    <x v="5"/>
    <x v="48"/>
    <x v="7"/>
    <x v="47"/>
    <x v="48"/>
    <x v="2"/>
  </r>
  <r>
    <x v="49"/>
    <x v="49"/>
    <x v="45"/>
    <x v="0"/>
    <x v="1"/>
    <x v="49"/>
    <x v="5"/>
    <x v="48"/>
    <x v="20"/>
    <x v="1"/>
  </r>
  <r>
    <x v="50"/>
    <x v="50"/>
    <x v="46"/>
    <x v="3"/>
    <x v="6"/>
    <x v="50"/>
    <x v="7"/>
    <x v="49"/>
    <x v="49"/>
    <x v="1"/>
  </r>
  <r>
    <x v="51"/>
    <x v="51"/>
    <x v="47"/>
    <x v="0"/>
    <x v="14"/>
    <x v="51"/>
    <x v="7"/>
    <x v="50"/>
    <x v="50"/>
    <x v="1"/>
  </r>
  <r>
    <x v="52"/>
    <x v="52"/>
    <x v="48"/>
    <x v="2"/>
    <x v="4"/>
    <x v="52"/>
    <x v="2"/>
    <x v="51"/>
    <x v="51"/>
    <x v="3"/>
  </r>
  <r>
    <x v="53"/>
    <x v="53"/>
    <x v="49"/>
    <x v="0"/>
    <x v="11"/>
    <x v="53"/>
    <x v="1"/>
    <x v="52"/>
    <x v="52"/>
    <x v="0"/>
  </r>
  <r>
    <x v="54"/>
    <x v="54"/>
    <x v="50"/>
    <x v="1"/>
    <x v="9"/>
    <x v="54"/>
    <x v="6"/>
    <x v="53"/>
    <x v="53"/>
    <x v="1"/>
  </r>
  <r>
    <x v="55"/>
    <x v="55"/>
    <x v="51"/>
    <x v="3"/>
    <x v="6"/>
    <x v="55"/>
    <x v="0"/>
    <x v="54"/>
    <x v="54"/>
    <x v="3"/>
  </r>
  <r>
    <x v="56"/>
    <x v="56"/>
    <x v="52"/>
    <x v="1"/>
    <x v="3"/>
    <x v="56"/>
    <x v="6"/>
    <x v="55"/>
    <x v="55"/>
    <x v="2"/>
  </r>
  <r>
    <x v="57"/>
    <x v="57"/>
    <x v="53"/>
    <x v="2"/>
    <x v="12"/>
    <x v="57"/>
    <x v="0"/>
    <x v="56"/>
    <x v="56"/>
    <x v="1"/>
  </r>
  <r>
    <x v="58"/>
    <x v="58"/>
    <x v="54"/>
    <x v="0"/>
    <x v="0"/>
    <x v="58"/>
    <x v="2"/>
    <x v="57"/>
    <x v="57"/>
    <x v="2"/>
  </r>
  <r>
    <x v="59"/>
    <x v="59"/>
    <x v="8"/>
    <x v="0"/>
    <x v="11"/>
    <x v="59"/>
    <x v="4"/>
    <x v="58"/>
    <x v="58"/>
    <x v="2"/>
  </r>
  <r>
    <x v="60"/>
    <x v="60"/>
    <x v="55"/>
    <x v="1"/>
    <x v="5"/>
    <x v="60"/>
    <x v="6"/>
    <x v="59"/>
    <x v="59"/>
    <x v="1"/>
  </r>
  <r>
    <x v="61"/>
    <x v="61"/>
    <x v="56"/>
    <x v="2"/>
    <x v="4"/>
    <x v="61"/>
    <x v="1"/>
    <x v="60"/>
    <x v="60"/>
    <x v="1"/>
  </r>
  <r>
    <x v="62"/>
    <x v="62"/>
    <x v="57"/>
    <x v="0"/>
    <x v="1"/>
    <x v="62"/>
    <x v="5"/>
    <x v="61"/>
    <x v="61"/>
    <x v="2"/>
  </r>
  <r>
    <x v="63"/>
    <x v="63"/>
    <x v="58"/>
    <x v="3"/>
    <x v="15"/>
    <x v="63"/>
    <x v="6"/>
    <x v="62"/>
    <x v="62"/>
    <x v="1"/>
  </r>
  <r>
    <x v="64"/>
    <x v="64"/>
    <x v="59"/>
    <x v="3"/>
    <x v="15"/>
    <x v="64"/>
    <x v="0"/>
    <x v="63"/>
    <x v="63"/>
    <x v="3"/>
  </r>
  <r>
    <x v="65"/>
    <x v="65"/>
    <x v="60"/>
    <x v="1"/>
    <x v="9"/>
    <x v="65"/>
    <x v="4"/>
    <x v="64"/>
    <x v="64"/>
    <x v="0"/>
  </r>
  <r>
    <x v="66"/>
    <x v="66"/>
    <x v="17"/>
    <x v="0"/>
    <x v="0"/>
    <x v="66"/>
    <x v="0"/>
    <x v="65"/>
    <x v="65"/>
    <x v="1"/>
  </r>
  <r>
    <x v="67"/>
    <x v="67"/>
    <x v="18"/>
    <x v="3"/>
    <x v="8"/>
    <x v="67"/>
    <x v="8"/>
    <x v="66"/>
    <x v="66"/>
    <x v="0"/>
  </r>
  <r>
    <x v="68"/>
    <x v="68"/>
    <x v="61"/>
    <x v="1"/>
    <x v="9"/>
    <x v="68"/>
    <x v="6"/>
    <x v="67"/>
    <x v="67"/>
    <x v="1"/>
  </r>
  <r>
    <x v="69"/>
    <x v="69"/>
    <x v="62"/>
    <x v="3"/>
    <x v="6"/>
    <x v="69"/>
    <x v="1"/>
    <x v="68"/>
    <x v="68"/>
    <x v="1"/>
  </r>
  <r>
    <x v="70"/>
    <x v="70"/>
    <x v="10"/>
    <x v="1"/>
    <x v="2"/>
    <x v="70"/>
    <x v="8"/>
    <x v="69"/>
    <x v="69"/>
    <x v="0"/>
  </r>
  <r>
    <x v="71"/>
    <x v="71"/>
    <x v="63"/>
    <x v="1"/>
    <x v="3"/>
    <x v="71"/>
    <x v="9"/>
    <x v="70"/>
    <x v="70"/>
    <x v="0"/>
  </r>
  <r>
    <x v="72"/>
    <x v="72"/>
    <x v="64"/>
    <x v="1"/>
    <x v="3"/>
    <x v="72"/>
    <x v="5"/>
    <x v="71"/>
    <x v="71"/>
    <x v="1"/>
  </r>
  <r>
    <x v="73"/>
    <x v="73"/>
    <x v="65"/>
    <x v="3"/>
    <x v="13"/>
    <x v="73"/>
    <x v="0"/>
    <x v="72"/>
    <x v="72"/>
    <x v="0"/>
  </r>
  <r>
    <x v="74"/>
    <x v="74"/>
    <x v="66"/>
    <x v="3"/>
    <x v="8"/>
    <x v="74"/>
    <x v="1"/>
    <x v="73"/>
    <x v="73"/>
    <x v="0"/>
  </r>
  <r>
    <x v="75"/>
    <x v="75"/>
    <x v="67"/>
    <x v="3"/>
    <x v="8"/>
    <x v="75"/>
    <x v="9"/>
    <x v="57"/>
    <x v="74"/>
    <x v="2"/>
  </r>
  <r>
    <x v="76"/>
    <x v="76"/>
    <x v="4"/>
    <x v="3"/>
    <x v="15"/>
    <x v="76"/>
    <x v="9"/>
    <x v="74"/>
    <x v="75"/>
    <x v="0"/>
  </r>
  <r>
    <x v="77"/>
    <x v="77"/>
    <x v="68"/>
    <x v="1"/>
    <x v="5"/>
    <x v="77"/>
    <x v="1"/>
    <x v="75"/>
    <x v="76"/>
    <x v="2"/>
  </r>
  <r>
    <x v="78"/>
    <x v="78"/>
    <x v="69"/>
    <x v="2"/>
    <x v="7"/>
    <x v="78"/>
    <x v="9"/>
    <x v="76"/>
    <x v="77"/>
    <x v="0"/>
  </r>
  <r>
    <x v="79"/>
    <x v="79"/>
    <x v="70"/>
    <x v="0"/>
    <x v="14"/>
    <x v="79"/>
    <x v="2"/>
    <x v="77"/>
    <x v="78"/>
    <x v="0"/>
  </r>
  <r>
    <x v="80"/>
    <x v="80"/>
    <x v="71"/>
    <x v="3"/>
    <x v="13"/>
    <x v="80"/>
    <x v="0"/>
    <x v="78"/>
    <x v="79"/>
    <x v="3"/>
  </r>
  <r>
    <x v="81"/>
    <x v="81"/>
    <x v="72"/>
    <x v="1"/>
    <x v="2"/>
    <x v="81"/>
    <x v="7"/>
    <x v="79"/>
    <x v="80"/>
    <x v="3"/>
  </r>
  <r>
    <x v="82"/>
    <x v="82"/>
    <x v="49"/>
    <x v="0"/>
    <x v="14"/>
    <x v="82"/>
    <x v="5"/>
    <x v="80"/>
    <x v="81"/>
    <x v="0"/>
  </r>
  <r>
    <x v="83"/>
    <x v="83"/>
    <x v="73"/>
    <x v="1"/>
    <x v="9"/>
    <x v="83"/>
    <x v="7"/>
    <x v="81"/>
    <x v="82"/>
    <x v="1"/>
  </r>
  <r>
    <x v="84"/>
    <x v="84"/>
    <x v="6"/>
    <x v="1"/>
    <x v="3"/>
    <x v="84"/>
    <x v="1"/>
    <x v="82"/>
    <x v="83"/>
    <x v="1"/>
  </r>
  <r>
    <x v="85"/>
    <x v="85"/>
    <x v="67"/>
    <x v="1"/>
    <x v="3"/>
    <x v="85"/>
    <x v="1"/>
    <x v="83"/>
    <x v="84"/>
    <x v="2"/>
  </r>
  <r>
    <x v="86"/>
    <x v="86"/>
    <x v="74"/>
    <x v="3"/>
    <x v="13"/>
    <x v="86"/>
    <x v="6"/>
    <x v="84"/>
    <x v="85"/>
    <x v="3"/>
  </r>
  <r>
    <x v="87"/>
    <x v="87"/>
    <x v="75"/>
    <x v="3"/>
    <x v="6"/>
    <x v="87"/>
    <x v="4"/>
    <x v="85"/>
    <x v="86"/>
    <x v="0"/>
  </r>
  <r>
    <x v="88"/>
    <x v="88"/>
    <x v="76"/>
    <x v="1"/>
    <x v="3"/>
    <x v="88"/>
    <x v="9"/>
    <x v="86"/>
    <x v="87"/>
    <x v="1"/>
  </r>
  <r>
    <x v="89"/>
    <x v="89"/>
    <x v="77"/>
    <x v="3"/>
    <x v="15"/>
    <x v="89"/>
    <x v="9"/>
    <x v="87"/>
    <x v="88"/>
    <x v="3"/>
  </r>
  <r>
    <x v="90"/>
    <x v="90"/>
    <x v="78"/>
    <x v="3"/>
    <x v="8"/>
    <x v="90"/>
    <x v="6"/>
    <x v="88"/>
    <x v="89"/>
    <x v="2"/>
  </r>
  <r>
    <x v="91"/>
    <x v="91"/>
    <x v="50"/>
    <x v="1"/>
    <x v="9"/>
    <x v="91"/>
    <x v="9"/>
    <x v="89"/>
    <x v="90"/>
    <x v="2"/>
  </r>
  <r>
    <x v="92"/>
    <x v="92"/>
    <x v="22"/>
    <x v="0"/>
    <x v="1"/>
    <x v="92"/>
    <x v="8"/>
    <x v="90"/>
    <x v="91"/>
    <x v="1"/>
  </r>
  <r>
    <x v="93"/>
    <x v="93"/>
    <x v="9"/>
    <x v="2"/>
    <x v="4"/>
    <x v="93"/>
    <x v="4"/>
    <x v="91"/>
    <x v="92"/>
    <x v="0"/>
  </r>
  <r>
    <x v="94"/>
    <x v="94"/>
    <x v="4"/>
    <x v="3"/>
    <x v="15"/>
    <x v="94"/>
    <x v="4"/>
    <x v="92"/>
    <x v="93"/>
    <x v="0"/>
  </r>
  <r>
    <x v="95"/>
    <x v="95"/>
    <x v="79"/>
    <x v="2"/>
    <x v="4"/>
    <x v="95"/>
    <x v="7"/>
    <x v="93"/>
    <x v="94"/>
    <x v="3"/>
  </r>
  <r>
    <x v="96"/>
    <x v="96"/>
    <x v="55"/>
    <x v="3"/>
    <x v="15"/>
    <x v="96"/>
    <x v="5"/>
    <x v="94"/>
    <x v="95"/>
    <x v="2"/>
  </r>
  <r>
    <x v="97"/>
    <x v="97"/>
    <x v="21"/>
    <x v="3"/>
    <x v="13"/>
    <x v="97"/>
    <x v="0"/>
    <x v="95"/>
    <x v="96"/>
    <x v="3"/>
  </r>
  <r>
    <x v="98"/>
    <x v="98"/>
    <x v="80"/>
    <x v="2"/>
    <x v="12"/>
    <x v="98"/>
    <x v="7"/>
    <x v="96"/>
    <x v="97"/>
    <x v="2"/>
  </r>
  <r>
    <x v="99"/>
    <x v="99"/>
    <x v="20"/>
    <x v="0"/>
    <x v="0"/>
    <x v="99"/>
    <x v="2"/>
    <x v="97"/>
    <x v="98"/>
    <x v="1"/>
  </r>
  <r>
    <x v="100"/>
    <x v="100"/>
    <x v="81"/>
    <x v="3"/>
    <x v="13"/>
    <x v="100"/>
    <x v="0"/>
    <x v="98"/>
    <x v="99"/>
    <x v="1"/>
  </r>
  <r>
    <x v="101"/>
    <x v="101"/>
    <x v="82"/>
    <x v="3"/>
    <x v="15"/>
    <x v="101"/>
    <x v="6"/>
    <x v="99"/>
    <x v="100"/>
    <x v="3"/>
  </r>
  <r>
    <x v="102"/>
    <x v="102"/>
    <x v="83"/>
    <x v="0"/>
    <x v="11"/>
    <x v="102"/>
    <x v="9"/>
    <x v="100"/>
    <x v="101"/>
    <x v="2"/>
  </r>
  <r>
    <x v="103"/>
    <x v="103"/>
    <x v="74"/>
    <x v="3"/>
    <x v="15"/>
    <x v="103"/>
    <x v="9"/>
    <x v="101"/>
    <x v="102"/>
    <x v="1"/>
  </r>
  <r>
    <x v="104"/>
    <x v="104"/>
    <x v="84"/>
    <x v="3"/>
    <x v="13"/>
    <x v="104"/>
    <x v="2"/>
    <x v="102"/>
    <x v="103"/>
    <x v="3"/>
  </r>
  <r>
    <x v="105"/>
    <x v="105"/>
    <x v="64"/>
    <x v="2"/>
    <x v="10"/>
    <x v="105"/>
    <x v="3"/>
    <x v="103"/>
    <x v="104"/>
    <x v="0"/>
  </r>
  <r>
    <x v="106"/>
    <x v="106"/>
    <x v="85"/>
    <x v="1"/>
    <x v="2"/>
    <x v="106"/>
    <x v="7"/>
    <x v="104"/>
    <x v="105"/>
    <x v="3"/>
  </r>
  <r>
    <x v="107"/>
    <x v="107"/>
    <x v="86"/>
    <x v="1"/>
    <x v="5"/>
    <x v="107"/>
    <x v="6"/>
    <x v="105"/>
    <x v="106"/>
    <x v="3"/>
  </r>
  <r>
    <x v="108"/>
    <x v="108"/>
    <x v="27"/>
    <x v="2"/>
    <x v="7"/>
    <x v="108"/>
    <x v="6"/>
    <x v="106"/>
    <x v="107"/>
    <x v="2"/>
  </r>
  <r>
    <x v="109"/>
    <x v="109"/>
    <x v="87"/>
    <x v="2"/>
    <x v="10"/>
    <x v="109"/>
    <x v="7"/>
    <x v="107"/>
    <x v="108"/>
    <x v="2"/>
  </r>
  <r>
    <x v="110"/>
    <x v="110"/>
    <x v="27"/>
    <x v="3"/>
    <x v="6"/>
    <x v="110"/>
    <x v="8"/>
    <x v="108"/>
    <x v="109"/>
    <x v="1"/>
  </r>
  <r>
    <x v="111"/>
    <x v="111"/>
    <x v="88"/>
    <x v="0"/>
    <x v="1"/>
    <x v="111"/>
    <x v="1"/>
    <x v="109"/>
    <x v="110"/>
    <x v="0"/>
  </r>
  <r>
    <x v="112"/>
    <x v="112"/>
    <x v="21"/>
    <x v="0"/>
    <x v="11"/>
    <x v="112"/>
    <x v="7"/>
    <x v="110"/>
    <x v="111"/>
    <x v="1"/>
  </r>
  <r>
    <x v="113"/>
    <x v="113"/>
    <x v="89"/>
    <x v="2"/>
    <x v="12"/>
    <x v="113"/>
    <x v="1"/>
    <x v="111"/>
    <x v="112"/>
    <x v="3"/>
  </r>
  <r>
    <x v="114"/>
    <x v="114"/>
    <x v="4"/>
    <x v="2"/>
    <x v="12"/>
    <x v="114"/>
    <x v="8"/>
    <x v="112"/>
    <x v="113"/>
    <x v="0"/>
  </r>
  <r>
    <x v="115"/>
    <x v="115"/>
    <x v="90"/>
    <x v="3"/>
    <x v="15"/>
    <x v="115"/>
    <x v="1"/>
    <x v="113"/>
    <x v="114"/>
    <x v="2"/>
  </r>
  <r>
    <x v="116"/>
    <x v="116"/>
    <x v="91"/>
    <x v="1"/>
    <x v="3"/>
    <x v="116"/>
    <x v="4"/>
    <x v="114"/>
    <x v="115"/>
    <x v="2"/>
  </r>
  <r>
    <x v="117"/>
    <x v="117"/>
    <x v="92"/>
    <x v="2"/>
    <x v="12"/>
    <x v="117"/>
    <x v="1"/>
    <x v="115"/>
    <x v="116"/>
    <x v="0"/>
  </r>
  <r>
    <x v="118"/>
    <x v="118"/>
    <x v="29"/>
    <x v="3"/>
    <x v="6"/>
    <x v="118"/>
    <x v="2"/>
    <x v="116"/>
    <x v="117"/>
    <x v="2"/>
  </r>
  <r>
    <x v="119"/>
    <x v="119"/>
    <x v="45"/>
    <x v="1"/>
    <x v="5"/>
    <x v="119"/>
    <x v="7"/>
    <x v="117"/>
    <x v="118"/>
    <x v="3"/>
  </r>
  <r>
    <x v="120"/>
    <x v="120"/>
    <x v="74"/>
    <x v="1"/>
    <x v="5"/>
    <x v="120"/>
    <x v="1"/>
    <x v="118"/>
    <x v="119"/>
    <x v="1"/>
  </r>
  <r>
    <x v="121"/>
    <x v="121"/>
    <x v="9"/>
    <x v="3"/>
    <x v="15"/>
    <x v="121"/>
    <x v="0"/>
    <x v="119"/>
    <x v="120"/>
    <x v="1"/>
  </r>
  <r>
    <x v="122"/>
    <x v="122"/>
    <x v="93"/>
    <x v="2"/>
    <x v="4"/>
    <x v="122"/>
    <x v="8"/>
    <x v="120"/>
    <x v="121"/>
    <x v="1"/>
  </r>
  <r>
    <x v="123"/>
    <x v="123"/>
    <x v="94"/>
    <x v="2"/>
    <x v="7"/>
    <x v="123"/>
    <x v="0"/>
    <x v="121"/>
    <x v="122"/>
    <x v="2"/>
  </r>
  <r>
    <x v="124"/>
    <x v="124"/>
    <x v="33"/>
    <x v="3"/>
    <x v="6"/>
    <x v="124"/>
    <x v="6"/>
    <x v="122"/>
    <x v="123"/>
    <x v="1"/>
  </r>
  <r>
    <x v="125"/>
    <x v="125"/>
    <x v="95"/>
    <x v="2"/>
    <x v="7"/>
    <x v="125"/>
    <x v="3"/>
    <x v="58"/>
    <x v="124"/>
    <x v="2"/>
  </r>
  <r>
    <x v="126"/>
    <x v="126"/>
    <x v="84"/>
    <x v="3"/>
    <x v="8"/>
    <x v="126"/>
    <x v="3"/>
    <x v="123"/>
    <x v="125"/>
    <x v="1"/>
  </r>
  <r>
    <x v="127"/>
    <x v="127"/>
    <x v="95"/>
    <x v="1"/>
    <x v="5"/>
    <x v="127"/>
    <x v="6"/>
    <x v="124"/>
    <x v="126"/>
    <x v="2"/>
  </r>
  <r>
    <x v="128"/>
    <x v="128"/>
    <x v="77"/>
    <x v="0"/>
    <x v="14"/>
    <x v="128"/>
    <x v="8"/>
    <x v="125"/>
    <x v="127"/>
    <x v="1"/>
  </r>
  <r>
    <x v="129"/>
    <x v="129"/>
    <x v="96"/>
    <x v="3"/>
    <x v="6"/>
    <x v="129"/>
    <x v="6"/>
    <x v="126"/>
    <x v="128"/>
    <x v="2"/>
  </r>
  <r>
    <x v="130"/>
    <x v="130"/>
    <x v="36"/>
    <x v="1"/>
    <x v="5"/>
    <x v="130"/>
    <x v="7"/>
    <x v="127"/>
    <x v="129"/>
    <x v="2"/>
  </r>
  <r>
    <x v="131"/>
    <x v="131"/>
    <x v="69"/>
    <x v="1"/>
    <x v="3"/>
    <x v="131"/>
    <x v="4"/>
    <x v="128"/>
    <x v="130"/>
    <x v="3"/>
  </r>
  <r>
    <x v="132"/>
    <x v="132"/>
    <x v="91"/>
    <x v="0"/>
    <x v="0"/>
    <x v="132"/>
    <x v="4"/>
    <x v="129"/>
    <x v="131"/>
    <x v="2"/>
  </r>
  <r>
    <x v="133"/>
    <x v="133"/>
    <x v="97"/>
    <x v="2"/>
    <x v="12"/>
    <x v="133"/>
    <x v="0"/>
    <x v="130"/>
    <x v="132"/>
    <x v="3"/>
  </r>
  <r>
    <x v="134"/>
    <x v="134"/>
    <x v="86"/>
    <x v="1"/>
    <x v="3"/>
    <x v="134"/>
    <x v="5"/>
    <x v="131"/>
    <x v="133"/>
    <x v="1"/>
  </r>
  <r>
    <x v="135"/>
    <x v="135"/>
    <x v="98"/>
    <x v="1"/>
    <x v="3"/>
    <x v="135"/>
    <x v="2"/>
    <x v="132"/>
    <x v="134"/>
    <x v="1"/>
  </r>
  <r>
    <x v="136"/>
    <x v="136"/>
    <x v="11"/>
    <x v="0"/>
    <x v="11"/>
    <x v="136"/>
    <x v="5"/>
    <x v="133"/>
    <x v="135"/>
    <x v="0"/>
  </r>
  <r>
    <x v="137"/>
    <x v="137"/>
    <x v="74"/>
    <x v="1"/>
    <x v="5"/>
    <x v="137"/>
    <x v="4"/>
    <x v="134"/>
    <x v="136"/>
    <x v="1"/>
  </r>
  <r>
    <x v="138"/>
    <x v="138"/>
    <x v="99"/>
    <x v="0"/>
    <x v="11"/>
    <x v="138"/>
    <x v="3"/>
    <x v="135"/>
    <x v="137"/>
    <x v="1"/>
  </r>
  <r>
    <x v="139"/>
    <x v="139"/>
    <x v="89"/>
    <x v="1"/>
    <x v="9"/>
    <x v="139"/>
    <x v="6"/>
    <x v="136"/>
    <x v="138"/>
    <x v="2"/>
  </r>
  <r>
    <x v="140"/>
    <x v="140"/>
    <x v="100"/>
    <x v="2"/>
    <x v="10"/>
    <x v="140"/>
    <x v="7"/>
    <x v="137"/>
    <x v="139"/>
    <x v="0"/>
  </r>
  <r>
    <x v="141"/>
    <x v="141"/>
    <x v="92"/>
    <x v="2"/>
    <x v="7"/>
    <x v="141"/>
    <x v="6"/>
    <x v="138"/>
    <x v="140"/>
    <x v="2"/>
  </r>
  <r>
    <x v="142"/>
    <x v="142"/>
    <x v="36"/>
    <x v="1"/>
    <x v="3"/>
    <x v="142"/>
    <x v="1"/>
    <x v="139"/>
    <x v="141"/>
    <x v="0"/>
  </r>
  <r>
    <x v="143"/>
    <x v="143"/>
    <x v="101"/>
    <x v="3"/>
    <x v="8"/>
    <x v="143"/>
    <x v="5"/>
    <x v="140"/>
    <x v="142"/>
    <x v="1"/>
  </r>
  <r>
    <x v="144"/>
    <x v="144"/>
    <x v="102"/>
    <x v="3"/>
    <x v="13"/>
    <x v="144"/>
    <x v="7"/>
    <x v="141"/>
    <x v="143"/>
    <x v="0"/>
  </r>
  <r>
    <x v="145"/>
    <x v="145"/>
    <x v="2"/>
    <x v="3"/>
    <x v="8"/>
    <x v="145"/>
    <x v="5"/>
    <x v="142"/>
    <x v="144"/>
    <x v="3"/>
  </r>
  <r>
    <x v="146"/>
    <x v="146"/>
    <x v="86"/>
    <x v="2"/>
    <x v="7"/>
    <x v="146"/>
    <x v="3"/>
    <x v="143"/>
    <x v="145"/>
    <x v="1"/>
  </r>
  <r>
    <x v="147"/>
    <x v="147"/>
    <x v="38"/>
    <x v="2"/>
    <x v="12"/>
    <x v="147"/>
    <x v="1"/>
    <x v="144"/>
    <x v="146"/>
    <x v="0"/>
  </r>
  <r>
    <x v="148"/>
    <x v="148"/>
    <x v="85"/>
    <x v="1"/>
    <x v="3"/>
    <x v="148"/>
    <x v="8"/>
    <x v="145"/>
    <x v="147"/>
    <x v="1"/>
  </r>
  <r>
    <x v="149"/>
    <x v="149"/>
    <x v="103"/>
    <x v="1"/>
    <x v="5"/>
    <x v="149"/>
    <x v="8"/>
    <x v="146"/>
    <x v="148"/>
    <x v="3"/>
  </r>
  <r>
    <x v="150"/>
    <x v="150"/>
    <x v="98"/>
    <x v="3"/>
    <x v="13"/>
    <x v="150"/>
    <x v="0"/>
    <x v="147"/>
    <x v="149"/>
    <x v="2"/>
  </r>
  <r>
    <x v="151"/>
    <x v="151"/>
    <x v="99"/>
    <x v="1"/>
    <x v="2"/>
    <x v="151"/>
    <x v="0"/>
    <x v="148"/>
    <x v="150"/>
    <x v="1"/>
  </r>
  <r>
    <x v="152"/>
    <x v="152"/>
    <x v="75"/>
    <x v="2"/>
    <x v="7"/>
    <x v="152"/>
    <x v="5"/>
    <x v="149"/>
    <x v="151"/>
    <x v="1"/>
  </r>
  <r>
    <x v="153"/>
    <x v="153"/>
    <x v="104"/>
    <x v="3"/>
    <x v="8"/>
    <x v="153"/>
    <x v="4"/>
    <x v="150"/>
    <x v="152"/>
    <x v="1"/>
  </r>
  <r>
    <x v="154"/>
    <x v="154"/>
    <x v="7"/>
    <x v="2"/>
    <x v="10"/>
    <x v="154"/>
    <x v="9"/>
    <x v="151"/>
    <x v="153"/>
    <x v="1"/>
  </r>
  <r>
    <x v="155"/>
    <x v="155"/>
    <x v="25"/>
    <x v="3"/>
    <x v="13"/>
    <x v="155"/>
    <x v="7"/>
    <x v="152"/>
    <x v="154"/>
    <x v="1"/>
  </r>
  <r>
    <x v="156"/>
    <x v="156"/>
    <x v="86"/>
    <x v="1"/>
    <x v="5"/>
    <x v="156"/>
    <x v="6"/>
    <x v="153"/>
    <x v="155"/>
    <x v="0"/>
  </r>
  <r>
    <x v="157"/>
    <x v="157"/>
    <x v="105"/>
    <x v="0"/>
    <x v="14"/>
    <x v="157"/>
    <x v="5"/>
    <x v="154"/>
    <x v="156"/>
    <x v="2"/>
  </r>
  <r>
    <x v="158"/>
    <x v="158"/>
    <x v="106"/>
    <x v="2"/>
    <x v="12"/>
    <x v="158"/>
    <x v="4"/>
    <x v="155"/>
    <x v="157"/>
    <x v="1"/>
  </r>
  <r>
    <x v="159"/>
    <x v="159"/>
    <x v="7"/>
    <x v="3"/>
    <x v="6"/>
    <x v="159"/>
    <x v="7"/>
    <x v="156"/>
    <x v="158"/>
    <x v="3"/>
  </r>
  <r>
    <x v="160"/>
    <x v="160"/>
    <x v="105"/>
    <x v="1"/>
    <x v="2"/>
    <x v="160"/>
    <x v="1"/>
    <x v="157"/>
    <x v="159"/>
    <x v="2"/>
  </r>
  <r>
    <x v="161"/>
    <x v="161"/>
    <x v="107"/>
    <x v="0"/>
    <x v="1"/>
    <x v="161"/>
    <x v="0"/>
    <x v="158"/>
    <x v="160"/>
    <x v="3"/>
  </r>
  <r>
    <x v="162"/>
    <x v="162"/>
    <x v="27"/>
    <x v="1"/>
    <x v="5"/>
    <x v="162"/>
    <x v="6"/>
    <x v="159"/>
    <x v="161"/>
    <x v="0"/>
  </r>
  <r>
    <x v="163"/>
    <x v="163"/>
    <x v="108"/>
    <x v="0"/>
    <x v="0"/>
    <x v="163"/>
    <x v="6"/>
    <x v="160"/>
    <x v="162"/>
    <x v="3"/>
  </r>
  <r>
    <x v="164"/>
    <x v="164"/>
    <x v="109"/>
    <x v="3"/>
    <x v="15"/>
    <x v="164"/>
    <x v="7"/>
    <x v="161"/>
    <x v="163"/>
    <x v="1"/>
  </r>
  <r>
    <x v="165"/>
    <x v="165"/>
    <x v="110"/>
    <x v="1"/>
    <x v="5"/>
    <x v="165"/>
    <x v="9"/>
    <x v="162"/>
    <x v="164"/>
    <x v="2"/>
  </r>
  <r>
    <x v="166"/>
    <x v="166"/>
    <x v="71"/>
    <x v="3"/>
    <x v="15"/>
    <x v="166"/>
    <x v="6"/>
    <x v="163"/>
    <x v="165"/>
    <x v="2"/>
  </r>
  <r>
    <x v="167"/>
    <x v="167"/>
    <x v="111"/>
    <x v="2"/>
    <x v="7"/>
    <x v="167"/>
    <x v="5"/>
    <x v="164"/>
    <x v="166"/>
    <x v="2"/>
  </r>
  <r>
    <x v="168"/>
    <x v="168"/>
    <x v="112"/>
    <x v="0"/>
    <x v="0"/>
    <x v="168"/>
    <x v="3"/>
    <x v="165"/>
    <x v="167"/>
    <x v="0"/>
  </r>
  <r>
    <x v="169"/>
    <x v="169"/>
    <x v="20"/>
    <x v="1"/>
    <x v="5"/>
    <x v="169"/>
    <x v="5"/>
    <x v="166"/>
    <x v="168"/>
    <x v="3"/>
  </r>
  <r>
    <x v="170"/>
    <x v="170"/>
    <x v="113"/>
    <x v="1"/>
    <x v="5"/>
    <x v="170"/>
    <x v="5"/>
    <x v="167"/>
    <x v="169"/>
    <x v="1"/>
  </r>
  <r>
    <x v="171"/>
    <x v="171"/>
    <x v="114"/>
    <x v="0"/>
    <x v="1"/>
    <x v="171"/>
    <x v="8"/>
    <x v="168"/>
    <x v="170"/>
    <x v="1"/>
  </r>
  <r>
    <x v="172"/>
    <x v="172"/>
    <x v="87"/>
    <x v="3"/>
    <x v="13"/>
    <x v="172"/>
    <x v="6"/>
    <x v="169"/>
    <x v="171"/>
    <x v="0"/>
  </r>
  <r>
    <x v="173"/>
    <x v="173"/>
    <x v="79"/>
    <x v="3"/>
    <x v="8"/>
    <x v="173"/>
    <x v="6"/>
    <x v="170"/>
    <x v="172"/>
    <x v="1"/>
  </r>
  <r>
    <x v="174"/>
    <x v="174"/>
    <x v="115"/>
    <x v="1"/>
    <x v="2"/>
    <x v="174"/>
    <x v="5"/>
    <x v="171"/>
    <x v="173"/>
    <x v="3"/>
  </r>
  <r>
    <x v="175"/>
    <x v="175"/>
    <x v="25"/>
    <x v="1"/>
    <x v="2"/>
    <x v="175"/>
    <x v="1"/>
    <x v="172"/>
    <x v="174"/>
    <x v="3"/>
  </r>
  <r>
    <x v="176"/>
    <x v="176"/>
    <x v="76"/>
    <x v="0"/>
    <x v="14"/>
    <x v="176"/>
    <x v="1"/>
    <x v="173"/>
    <x v="175"/>
    <x v="1"/>
  </r>
  <r>
    <x v="177"/>
    <x v="177"/>
    <x v="51"/>
    <x v="1"/>
    <x v="9"/>
    <x v="177"/>
    <x v="6"/>
    <x v="174"/>
    <x v="176"/>
    <x v="2"/>
  </r>
  <r>
    <x v="178"/>
    <x v="178"/>
    <x v="8"/>
    <x v="3"/>
    <x v="6"/>
    <x v="178"/>
    <x v="9"/>
    <x v="175"/>
    <x v="177"/>
    <x v="3"/>
  </r>
  <r>
    <x v="179"/>
    <x v="179"/>
    <x v="56"/>
    <x v="0"/>
    <x v="14"/>
    <x v="179"/>
    <x v="8"/>
    <x v="176"/>
    <x v="178"/>
    <x v="0"/>
  </r>
  <r>
    <x v="180"/>
    <x v="180"/>
    <x v="116"/>
    <x v="0"/>
    <x v="14"/>
    <x v="180"/>
    <x v="4"/>
    <x v="177"/>
    <x v="179"/>
    <x v="2"/>
  </r>
  <r>
    <x v="181"/>
    <x v="181"/>
    <x v="103"/>
    <x v="1"/>
    <x v="3"/>
    <x v="181"/>
    <x v="0"/>
    <x v="178"/>
    <x v="180"/>
    <x v="2"/>
  </r>
  <r>
    <x v="182"/>
    <x v="182"/>
    <x v="12"/>
    <x v="3"/>
    <x v="13"/>
    <x v="182"/>
    <x v="4"/>
    <x v="179"/>
    <x v="181"/>
    <x v="0"/>
  </r>
  <r>
    <x v="183"/>
    <x v="183"/>
    <x v="43"/>
    <x v="3"/>
    <x v="8"/>
    <x v="183"/>
    <x v="6"/>
    <x v="180"/>
    <x v="182"/>
    <x v="2"/>
  </r>
  <r>
    <x v="184"/>
    <x v="184"/>
    <x v="117"/>
    <x v="3"/>
    <x v="8"/>
    <x v="184"/>
    <x v="1"/>
    <x v="181"/>
    <x v="183"/>
    <x v="1"/>
  </r>
  <r>
    <x v="185"/>
    <x v="185"/>
    <x v="118"/>
    <x v="2"/>
    <x v="4"/>
    <x v="185"/>
    <x v="7"/>
    <x v="182"/>
    <x v="184"/>
    <x v="1"/>
  </r>
  <r>
    <x v="186"/>
    <x v="186"/>
    <x v="13"/>
    <x v="0"/>
    <x v="1"/>
    <x v="186"/>
    <x v="0"/>
    <x v="183"/>
    <x v="185"/>
    <x v="3"/>
  </r>
  <r>
    <x v="187"/>
    <x v="187"/>
    <x v="119"/>
    <x v="2"/>
    <x v="7"/>
    <x v="187"/>
    <x v="6"/>
    <x v="184"/>
    <x v="186"/>
    <x v="1"/>
  </r>
  <r>
    <x v="188"/>
    <x v="188"/>
    <x v="120"/>
    <x v="1"/>
    <x v="2"/>
    <x v="188"/>
    <x v="0"/>
    <x v="185"/>
    <x v="187"/>
    <x v="0"/>
  </r>
  <r>
    <x v="189"/>
    <x v="189"/>
    <x v="112"/>
    <x v="0"/>
    <x v="1"/>
    <x v="189"/>
    <x v="1"/>
    <x v="186"/>
    <x v="188"/>
    <x v="3"/>
  </r>
  <r>
    <x v="190"/>
    <x v="190"/>
    <x v="59"/>
    <x v="2"/>
    <x v="12"/>
    <x v="190"/>
    <x v="8"/>
    <x v="187"/>
    <x v="189"/>
    <x v="2"/>
  </r>
  <r>
    <x v="191"/>
    <x v="191"/>
    <x v="91"/>
    <x v="2"/>
    <x v="4"/>
    <x v="191"/>
    <x v="7"/>
    <x v="188"/>
    <x v="190"/>
    <x v="0"/>
  </r>
  <r>
    <x v="192"/>
    <x v="192"/>
    <x v="121"/>
    <x v="2"/>
    <x v="12"/>
    <x v="192"/>
    <x v="6"/>
    <x v="189"/>
    <x v="191"/>
    <x v="3"/>
  </r>
  <r>
    <x v="193"/>
    <x v="193"/>
    <x v="120"/>
    <x v="2"/>
    <x v="4"/>
    <x v="193"/>
    <x v="5"/>
    <x v="190"/>
    <x v="192"/>
    <x v="1"/>
  </r>
  <r>
    <x v="194"/>
    <x v="194"/>
    <x v="122"/>
    <x v="3"/>
    <x v="13"/>
    <x v="194"/>
    <x v="0"/>
    <x v="191"/>
    <x v="193"/>
    <x v="2"/>
  </r>
  <r>
    <x v="195"/>
    <x v="195"/>
    <x v="67"/>
    <x v="0"/>
    <x v="0"/>
    <x v="195"/>
    <x v="5"/>
    <x v="192"/>
    <x v="194"/>
    <x v="1"/>
  </r>
  <r>
    <x v="196"/>
    <x v="196"/>
    <x v="46"/>
    <x v="2"/>
    <x v="7"/>
    <x v="196"/>
    <x v="7"/>
    <x v="193"/>
    <x v="195"/>
    <x v="2"/>
  </r>
  <r>
    <x v="197"/>
    <x v="197"/>
    <x v="22"/>
    <x v="1"/>
    <x v="3"/>
    <x v="197"/>
    <x v="6"/>
    <x v="194"/>
    <x v="196"/>
    <x v="1"/>
  </r>
  <r>
    <x v="198"/>
    <x v="198"/>
    <x v="107"/>
    <x v="2"/>
    <x v="12"/>
    <x v="198"/>
    <x v="4"/>
    <x v="195"/>
    <x v="197"/>
    <x v="0"/>
  </r>
  <r>
    <x v="199"/>
    <x v="199"/>
    <x v="123"/>
    <x v="0"/>
    <x v="11"/>
    <x v="199"/>
    <x v="9"/>
    <x v="196"/>
    <x v="19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4" firstHeaderRow="0" firstDataRow="1" firstDataCol="1"/>
  <pivotFields count="10">
    <pivotField dataField="1"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ortType="descending" showAll="0">
      <items count="201">
        <item x="133"/>
        <item x="28"/>
        <item x="159"/>
        <item x="179"/>
        <item x="141"/>
        <item x="99"/>
        <item x="121"/>
        <item x="77"/>
        <item x="155"/>
        <item x="147"/>
        <item x="7"/>
        <item x="197"/>
        <item x="4"/>
        <item x="119"/>
        <item x="146"/>
        <item x="144"/>
        <item x="30"/>
        <item x="13"/>
        <item x="44"/>
        <item x="22"/>
        <item x="35"/>
        <item x="196"/>
        <item x="153"/>
        <item x="64"/>
        <item x="6"/>
        <item x="173"/>
        <item x="104"/>
        <item x="138"/>
        <item x="102"/>
        <item x="94"/>
        <item x="0"/>
        <item x="74"/>
        <item x="53"/>
        <item x="181"/>
        <item x="176"/>
        <item x="154"/>
        <item x="79"/>
        <item x="185"/>
        <item x="152"/>
        <item x="190"/>
        <item x="122"/>
        <item x="101"/>
        <item x="97"/>
        <item x="96"/>
        <item x="175"/>
        <item x="171"/>
        <item x="42"/>
        <item x="51"/>
        <item x="14"/>
        <item x="19"/>
        <item x="156"/>
        <item x="48"/>
        <item x="45"/>
        <item x="123"/>
        <item x="195"/>
        <item x="188"/>
        <item x="8"/>
        <item x="90"/>
        <item x="40"/>
        <item x="33"/>
        <item x="37"/>
        <item x="194"/>
        <item x="166"/>
        <item x="83"/>
        <item x="193"/>
        <item x="65"/>
        <item x="115"/>
        <item x="105"/>
        <item x="184"/>
        <item x="88"/>
        <item x="128"/>
        <item x="180"/>
        <item x="63"/>
        <item x="80"/>
        <item x="34"/>
        <item x="177"/>
        <item x="87"/>
        <item x="178"/>
        <item x="62"/>
        <item x="24"/>
        <item x="36"/>
        <item x="110"/>
        <item x="170"/>
        <item x="148"/>
        <item x="108"/>
        <item x="118"/>
        <item x="46"/>
        <item x="167"/>
        <item x="84"/>
        <item x="161"/>
        <item x="187"/>
        <item x="93"/>
        <item x="73"/>
        <item x="82"/>
        <item x="26"/>
        <item x="92"/>
        <item x="174"/>
        <item x="12"/>
        <item x="15"/>
        <item x="47"/>
        <item x="9"/>
        <item x="72"/>
        <item x="150"/>
        <item x="50"/>
        <item x="189"/>
        <item x="67"/>
        <item x="124"/>
        <item x="27"/>
        <item x="125"/>
        <item x="169"/>
        <item x="89"/>
        <item x="198"/>
        <item x="164"/>
        <item x="127"/>
        <item x="98"/>
        <item x="32"/>
        <item x="143"/>
        <item x="57"/>
        <item x="43"/>
        <item x="137"/>
        <item x="131"/>
        <item x="186"/>
        <item x="100"/>
        <item x="168"/>
        <item x="49"/>
        <item x="86"/>
        <item x="117"/>
        <item x="25"/>
        <item x="91"/>
        <item x="68"/>
        <item x="69"/>
        <item x="160"/>
        <item x="21"/>
        <item x="5"/>
        <item x="139"/>
        <item x="59"/>
        <item x="1"/>
        <item x="172"/>
        <item x="71"/>
        <item x="81"/>
        <item x="116"/>
        <item x="136"/>
        <item x="129"/>
        <item x="41"/>
        <item x="23"/>
        <item x="29"/>
        <item x="95"/>
        <item x="157"/>
        <item x="70"/>
        <item x="132"/>
        <item x="16"/>
        <item x="60"/>
        <item x="135"/>
        <item x="18"/>
        <item x="120"/>
        <item x="2"/>
        <item x="39"/>
        <item x="76"/>
        <item x="112"/>
        <item x="31"/>
        <item x="66"/>
        <item x="78"/>
        <item x="113"/>
        <item x="20"/>
        <item x="10"/>
        <item x="134"/>
        <item x="151"/>
        <item x="183"/>
        <item x="140"/>
        <item x="109"/>
        <item x="192"/>
        <item x="3"/>
        <item x="182"/>
        <item x="61"/>
        <item x="54"/>
        <item x="145"/>
        <item x="85"/>
        <item x="107"/>
        <item x="114"/>
        <item x="165"/>
        <item x="58"/>
        <item x="163"/>
        <item x="130"/>
        <item x="106"/>
        <item x="191"/>
        <item x="158"/>
        <item x="199"/>
        <item x="149"/>
        <item x="103"/>
        <item x="17"/>
        <item x="142"/>
        <item x="11"/>
        <item x="75"/>
        <item x="38"/>
        <item x="162"/>
        <item x="55"/>
        <item x="56"/>
        <item x="52"/>
        <item x="111"/>
        <item x="12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200">
        <item x="128"/>
        <item x="107"/>
        <item x="38"/>
        <item x="23"/>
        <item x="59"/>
        <item x="186"/>
        <item x="123"/>
        <item x="155"/>
        <item x="135"/>
        <item x="100"/>
        <item x="191"/>
        <item x="140"/>
        <item x="74"/>
        <item x="177"/>
        <item x="138"/>
        <item x="41"/>
        <item x="99"/>
        <item x="143"/>
        <item x="85"/>
        <item x="104"/>
        <item x="77"/>
        <item x="57"/>
        <item x="158"/>
        <item x="4"/>
        <item x="55"/>
        <item x="96"/>
        <item x="196"/>
        <item x="21"/>
        <item x="50"/>
        <item x="182"/>
        <item x="27"/>
        <item x="171"/>
        <item x="79"/>
        <item x="151"/>
        <item x="28"/>
        <item x="76"/>
        <item x="0"/>
        <item x="43"/>
        <item x="52"/>
        <item x="162"/>
        <item x="25"/>
        <item x="78"/>
        <item x="13"/>
        <item x="67"/>
        <item x="197"/>
        <item x="126"/>
        <item x="161"/>
        <item x="3"/>
        <item x="122"/>
        <item x="80"/>
        <item x="131"/>
        <item x="163"/>
        <item x="37"/>
        <item x="34"/>
        <item x="53"/>
        <item x="165"/>
        <item x="172"/>
        <item x="132"/>
        <item x="176"/>
        <item x="111"/>
        <item x="89"/>
        <item x="62"/>
        <item x="193"/>
        <item x="9"/>
        <item x="31"/>
        <item x="82"/>
        <item x="106"/>
        <item x="118"/>
        <item x="15"/>
        <item x="150"/>
        <item x="75"/>
        <item x="120"/>
        <item x="16"/>
        <item x="154"/>
        <item x="47"/>
        <item x="14"/>
        <item x="164"/>
        <item x="2"/>
        <item x="44"/>
        <item x="5"/>
        <item x="97"/>
        <item x="194"/>
        <item x="49"/>
        <item x="175"/>
        <item x="48"/>
        <item x="180"/>
        <item x="134"/>
        <item x="45"/>
        <item x="32"/>
        <item x="160"/>
        <item x="63"/>
        <item x="187"/>
        <item x="40"/>
        <item x="8"/>
        <item x="101"/>
        <item x="12"/>
        <item x="83"/>
        <item x="185"/>
        <item x="86"/>
        <item x="137"/>
        <item x="35"/>
        <item x="65"/>
        <item x="198"/>
        <item x="184"/>
        <item x="72"/>
        <item x="195"/>
        <item x="108"/>
        <item x="54"/>
        <item x="87"/>
        <item x="17"/>
        <item x="10"/>
        <item x="56"/>
        <item x="149"/>
        <item x="129"/>
        <item x="139"/>
        <item x="102"/>
        <item x="178"/>
        <item x="29"/>
        <item x="94"/>
        <item x="88"/>
        <item x="188"/>
        <item x="144"/>
        <item x="20"/>
        <item x="36"/>
        <item x="39"/>
        <item x="146"/>
        <item x="1"/>
        <item x="117"/>
        <item x="105"/>
        <item x="46"/>
        <item x="116"/>
        <item x="190"/>
        <item x="169"/>
        <item x="71"/>
        <item x="90"/>
        <item x="33"/>
        <item x="192"/>
        <item x="11"/>
        <item x="168"/>
        <item x="51"/>
        <item x="70"/>
        <item x="103"/>
        <item x="145"/>
        <item x="26"/>
        <item x="130"/>
        <item x="147"/>
        <item x="84"/>
        <item x="141"/>
        <item x="110"/>
        <item x="93"/>
        <item x="153"/>
        <item x="22"/>
        <item x="7"/>
        <item x="68"/>
        <item x="136"/>
        <item x="91"/>
        <item x="125"/>
        <item x="112"/>
        <item x="73"/>
        <item x="98"/>
        <item x="61"/>
        <item x="127"/>
        <item x="115"/>
        <item x="170"/>
        <item x="152"/>
        <item x="42"/>
        <item x="81"/>
        <item x="142"/>
        <item x="174"/>
        <item x="64"/>
        <item x="179"/>
        <item x="30"/>
        <item x="95"/>
        <item x="6"/>
        <item x="92"/>
        <item x="24"/>
        <item x="156"/>
        <item x="109"/>
        <item x="181"/>
        <item x="133"/>
        <item x="121"/>
        <item x="60"/>
        <item x="58"/>
        <item x="114"/>
        <item x="66"/>
        <item x="157"/>
        <item x="18"/>
        <item x="166"/>
        <item x="183"/>
        <item x="173"/>
        <item x="113"/>
        <item x="148"/>
        <item x="189"/>
        <item x="69"/>
        <item x="119"/>
        <item x="159"/>
        <item x="167"/>
        <item x="19"/>
        <item x="124"/>
        <item t="default"/>
      </items>
    </pivotField>
    <pivotField compact="0" showAll="0"/>
  </pivotFields>
  <rowFields count="1">
    <field x="1"/>
  </rowFields>
  <rowItems count="201">
    <i>
      <x v="108"/>
    </i>
    <i>
      <x v="49"/>
    </i>
    <i>
      <x v="123"/>
    </i>
    <i>
      <x v="131"/>
    </i>
    <i>
      <x v="154"/>
    </i>
    <i>
      <x v="148"/>
    </i>
    <i>
      <x v="39"/>
    </i>
    <i>
      <x v="187"/>
    </i>
    <i>
      <x v="178"/>
    </i>
    <i>
      <x v="96"/>
    </i>
    <i>
      <x v="68"/>
    </i>
    <i>
      <x v="87"/>
    </i>
    <i>
      <x v="153"/>
    </i>
    <i>
      <x v="185"/>
    </i>
    <i>
      <x v="105"/>
    </i>
    <i>
      <x v="66"/>
    </i>
    <i>
      <x v="135"/>
    </i>
    <i>
      <x v="173"/>
    </i>
    <i>
      <x v="40"/>
    </i>
    <i>
      <x v="165"/>
    </i>
    <i>
      <x v="172"/>
    </i>
    <i>
      <x v="81"/>
    </i>
    <i>
      <x v="147"/>
    </i>
    <i>
      <x v="79"/>
    </i>
    <i>
      <x v="91"/>
    </i>
    <i>
      <x v="24"/>
    </i>
    <i>
      <x v="43"/>
    </i>
    <i>
      <x v="16"/>
    </i>
    <i>
      <x v="71"/>
    </i>
    <i>
      <x v="65"/>
    </i>
    <i>
      <x v="44"/>
    </i>
    <i>
      <x v="116"/>
    </i>
    <i>
      <x v="93"/>
    </i>
    <i>
      <x v="46"/>
    </i>
    <i>
      <x v="22"/>
    </i>
    <i>
      <x v="45"/>
    </i>
    <i>
      <x v="140"/>
    </i>
    <i>
      <x v="70"/>
    </i>
    <i>
      <x v="78"/>
    </i>
    <i>
      <x v="5"/>
    </i>
    <i>
      <x v="31"/>
    </i>
    <i>
      <x v="162"/>
    </i>
    <i>
      <x v="199"/>
    </i>
    <i>
      <x v="95"/>
    </i>
    <i>
      <x v="119"/>
    </i>
    <i>
      <x v="130"/>
    </i>
    <i>
      <x v="10"/>
    </i>
    <i>
      <x v="19"/>
    </i>
    <i>
      <x v="35"/>
    </i>
    <i>
      <x v="29"/>
    </i>
    <i>
      <x v="198"/>
    </i>
    <i>
      <x v="190"/>
    </i>
    <i>
      <x v="176"/>
    </i>
    <i>
      <x v="83"/>
    </i>
    <i>
      <x v="120"/>
    </i>
    <i>
      <x v="94"/>
    </i>
    <i>
      <x v="14"/>
    </i>
    <i>
      <x v="26"/>
    </i>
    <i>
      <x v="138"/>
    </i>
    <i>
      <x v="197"/>
    </i>
    <i>
      <x v="109"/>
    </i>
    <i>
      <x v="191"/>
    </i>
    <i>
      <x v="64"/>
    </i>
    <i>
      <x v="59"/>
    </i>
    <i>
      <x v="128"/>
    </i>
    <i>
      <x v="101"/>
    </i>
    <i>
      <x v="82"/>
    </i>
    <i>
      <x v="184"/>
    </i>
    <i>
      <x v="126"/>
    </i>
    <i>
      <x v="86"/>
    </i>
    <i>
      <x v="183"/>
    </i>
    <i>
      <x v="85"/>
    </i>
    <i>
      <x v="136"/>
    </i>
    <i>
      <x v="9"/>
    </i>
    <i>
      <x v="156"/>
    </i>
    <i>
      <x v="80"/>
    </i>
    <i>
      <x v="163"/>
    </i>
    <i>
      <x v="124"/>
    </i>
    <i>
      <x v="175"/>
    </i>
    <i>
      <x v="104"/>
    </i>
    <i>
      <x v="110"/>
    </i>
    <i>
      <x v="146"/>
    </i>
    <i>
      <x v="145"/>
    </i>
    <i>
      <x v="3"/>
    </i>
    <i>
      <x v="188"/>
    </i>
    <i>
      <x v="168"/>
    </i>
    <i>
      <x v="182"/>
    </i>
    <i>
      <x v="102"/>
    </i>
    <i>
      <x v="117"/>
    </i>
    <i>
      <x v="164"/>
    </i>
    <i>
      <x v="189"/>
    </i>
    <i>
      <x v="69"/>
    </i>
    <i>
      <x v="195"/>
    </i>
    <i>
      <x v="169"/>
    </i>
    <i>
      <x v="21"/>
    </i>
    <i>
      <x v="92"/>
    </i>
    <i>
      <x v="37"/>
    </i>
    <i>
      <x v="186"/>
    </i>
    <i>
      <x v="160"/>
    </i>
    <i>
      <x v="20"/>
    </i>
    <i>
      <x v="27"/>
    </i>
    <i>
      <x v="76"/>
    </i>
    <i>
      <x v="121"/>
    </i>
    <i>
      <x v="88"/>
    </i>
    <i>
      <x v="97"/>
    </i>
    <i>
      <x v="28"/>
    </i>
    <i>
      <x v="56"/>
    </i>
    <i>
      <x v="58"/>
    </i>
    <i>
      <x v="55"/>
    </i>
    <i>
      <x v="23"/>
    </i>
    <i>
      <x v="89"/>
    </i>
    <i>
      <x v="115"/>
    </i>
    <i>
      <x v="52"/>
    </i>
    <i>
      <x v="152"/>
    </i>
    <i>
      <x v="33"/>
    </i>
    <i>
      <x v="51"/>
    </i>
    <i>
      <x v="34"/>
    </i>
    <i>
      <x v="103"/>
    </i>
    <i>
      <x v="54"/>
    </i>
    <i>
      <x v="114"/>
    </i>
    <i>
      <x v="133"/>
    </i>
    <i>
      <x v="18"/>
    </i>
    <i>
      <x v="155"/>
    </i>
    <i>
      <x v="179"/>
    </i>
    <i>
      <x v="48"/>
    </i>
    <i>
      <x v="99"/>
    </i>
    <i>
      <x v="8"/>
    </i>
    <i>
      <x v="150"/>
    </i>
    <i>
      <x v="6"/>
    </i>
    <i>
      <x v="157"/>
    </i>
    <i>
      <x v="166"/>
    </i>
    <i>
      <x v="98"/>
    </i>
    <i>
      <x v="13"/>
    </i>
    <i>
      <x v="177"/>
    </i>
    <i>
      <x v="63"/>
    </i>
    <i>
      <x v="159"/>
    </i>
    <i>
      <x v="100"/>
    </i>
    <i>
      <x v="61"/>
    </i>
    <i>
      <x v="72"/>
    </i>
    <i>
      <x v="57"/>
    </i>
    <i>
      <x v="158"/>
    </i>
    <i>
      <x v="75"/>
    </i>
    <i>
      <x/>
    </i>
    <i>
      <x v="25"/>
    </i>
    <i>
      <x v="62"/>
    </i>
    <i>
      <x v="174"/>
    </i>
    <i>
      <x v="74"/>
    </i>
    <i>
      <x v="60"/>
    </i>
    <i>
      <x v="112"/>
    </i>
    <i>
      <x v="149"/>
    </i>
    <i>
      <x v="139"/>
    </i>
    <i>
      <x v="53"/>
    </i>
    <i>
      <x v="171"/>
    </i>
    <i>
      <x v="194"/>
    </i>
    <i>
      <x v="113"/>
    </i>
    <i>
      <x v="111"/>
    </i>
    <i>
      <x v="129"/>
    </i>
    <i>
      <x v="17"/>
    </i>
    <i>
      <x v="36"/>
    </i>
    <i>
      <x v="127"/>
    </i>
    <i>
      <x v="181"/>
    </i>
    <i>
      <x v="32"/>
    </i>
    <i>
      <x v="118"/>
    </i>
    <i>
      <x v="30"/>
    </i>
    <i>
      <x v="7"/>
    </i>
    <i>
      <x v="1"/>
    </i>
    <i>
      <x v="38"/>
    </i>
    <i>
      <x v="73"/>
    </i>
    <i>
      <x v="137"/>
    </i>
    <i>
      <x v="107"/>
    </i>
    <i>
      <x v="167"/>
    </i>
    <i>
      <x v="47"/>
    </i>
    <i>
      <x v="132"/>
    </i>
    <i>
      <x v="11"/>
    </i>
    <i>
      <x v="42"/>
    </i>
    <i>
      <x v="196"/>
    </i>
    <i>
      <x v="12"/>
    </i>
    <i>
      <x v="2"/>
    </i>
    <i>
      <x v="180"/>
    </i>
    <i>
      <x v="161"/>
    </i>
    <i>
      <x v="67"/>
    </i>
    <i>
      <x v="125"/>
    </i>
    <i>
      <x v="15"/>
    </i>
    <i>
      <x v="122"/>
    </i>
    <i>
      <x v="143"/>
    </i>
    <i>
      <x v="134"/>
    </i>
    <i>
      <x v="77"/>
    </i>
    <i>
      <x v="192"/>
    </i>
    <i>
      <x v="4"/>
    </i>
    <i>
      <x v="170"/>
    </i>
    <i>
      <x v="41"/>
    </i>
    <i>
      <x v="141"/>
    </i>
    <i>
      <x v="50"/>
    </i>
    <i>
      <x v="106"/>
    </i>
    <i>
      <x v="90"/>
    </i>
    <i>
      <x v="151"/>
    </i>
    <i>
      <x v="144"/>
    </i>
    <i>
      <x v="193"/>
    </i>
    <i>
      <x v="84"/>
    </i>
    <i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8" baseField="0" baseItem="0"/>
    <dataField name="Count of order_id" fld="0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workbookViewId="0">
      <selection activeCell="B1" sqref="B$1:B$1048576"/>
    </sheetView>
  </sheetViews>
  <sheetFormatPr defaultColWidth="9" defaultRowHeight="13.5"/>
  <cols>
    <col min="1" max="1" width="9.71666666666667" style="10" customWidth="1"/>
    <col min="2" max="2" width="18.1416666666667" style="10" customWidth="1"/>
    <col min="3" max="3" width="13.425" style="10" customWidth="1"/>
    <col min="4" max="4" width="10.2833333333333" style="10" customWidth="1"/>
    <col min="5" max="5" width="13.1416666666667" style="10" customWidth="1"/>
    <col min="6" max="6" width="17" style="10" customWidth="1"/>
    <col min="7" max="8" width="10.575" style="10" customWidth="1"/>
    <col min="9" max="9" width="10.8583333333333" style="10" customWidth="1"/>
    <col min="10" max="10" width="9" style="10"/>
  </cols>
  <sheetData>
    <row r="1" ht="15" spans="1:1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0"/>
      <c r="L1" s="10"/>
    </row>
    <row r="2" ht="14.25" spans="1:12">
      <c r="A2" s="12">
        <v>1000</v>
      </c>
      <c r="B2" s="13" t="s">
        <v>10</v>
      </c>
      <c r="C2" s="14">
        <v>45688</v>
      </c>
      <c r="D2" s="13" t="s">
        <v>11</v>
      </c>
      <c r="E2" s="13" t="s">
        <v>12</v>
      </c>
      <c r="F2" s="13" t="s">
        <v>13</v>
      </c>
      <c r="G2" s="12">
        <v>2</v>
      </c>
      <c r="H2" s="12">
        <v>1197</v>
      </c>
      <c r="I2" s="12">
        <v>2394</v>
      </c>
      <c r="J2" s="13" t="s">
        <v>14</v>
      </c>
    </row>
    <row r="3" ht="14.25" spans="1:12">
      <c r="A3" s="12">
        <v>1001</v>
      </c>
      <c r="B3" s="13" t="s">
        <v>15</v>
      </c>
      <c r="C3" s="14">
        <v>45782</v>
      </c>
      <c r="D3" s="13" t="s">
        <v>11</v>
      </c>
      <c r="E3" s="13" t="s">
        <v>12</v>
      </c>
      <c r="F3" s="13" t="s">
        <v>16</v>
      </c>
      <c r="G3" s="12">
        <v>9</v>
      </c>
      <c r="H3" s="12">
        <v>1509</v>
      </c>
      <c r="I3" s="12">
        <v>13581</v>
      </c>
      <c r="J3" s="13" t="s">
        <v>17</v>
      </c>
    </row>
    <row r="4" ht="14.25" spans="1:12">
      <c r="A4" s="12">
        <v>1002</v>
      </c>
      <c r="B4" s="13" t="s">
        <v>18</v>
      </c>
      <c r="C4" s="14">
        <v>45817</v>
      </c>
      <c r="D4" s="13" t="s">
        <v>11</v>
      </c>
      <c r="E4" s="13" t="s">
        <v>19</v>
      </c>
      <c r="F4" s="13" t="s">
        <v>20</v>
      </c>
      <c r="G4" s="12">
        <v>5</v>
      </c>
      <c r="H4" s="12">
        <v>1046</v>
      </c>
      <c r="I4" s="12">
        <v>5230</v>
      </c>
      <c r="J4" s="13" t="s">
        <v>21</v>
      </c>
    </row>
    <row r="5" ht="14.25" spans="1:12">
      <c r="A5" s="12">
        <v>1003</v>
      </c>
      <c r="B5" s="13" t="s">
        <v>22</v>
      </c>
      <c r="C5" s="14">
        <v>45715</v>
      </c>
      <c r="D5" s="13" t="s">
        <v>23</v>
      </c>
      <c r="E5" s="13" t="s">
        <v>24</v>
      </c>
      <c r="F5" s="13" t="s">
        <v>25</v>
      </c>
      <c r="G5" s="12">
        <v>10</v>
      </c>
      <c r="H5" s="12">
        <v>292</v>
      </c>
      <c r="I5" s="12">
        <v>2920</v>
      </c>
      <c r="J5" s="13" t="s">
        <v>17</v>
      </c>
    </row>
    <row r="6" ht="14.25" spans="1:12">
      <c r="A6" s="12">
        <v>1004</v>
      </c>
      <c r="B6" s="13" t="s">
        <v>26</v>
      </c>
      <c r="C6" s="14">
        <v>45809</v>
      </c>
      <c r="D6" s="13" t="s">
        <v>23</v>
      </c>
      <c r="E6" s="13" t="s">
        <v>27</v>
      </c>
      <c r="F6" s="13" t="s">
        <v>28</v>
      </c>
      <c r="G6" s="12">
        <v>2</v>
      </c>
      <c r="H6" s="12">
        <v>548</v>
      </c>
      <c r="I6" s="12">
        <v>1096</v>
      </c>
      <c r="J6" s="13" t="s">
        <v>29</v>
      </c>
    </row>
    <row r="7" ht="14.25" spans="1:12">
      <c r="A7" s="12">
        <v>1005</v>
      </c>
      <c r="B7" s="13" t="s">
        <v>30</v>
      </c>
      <c r="C7" s="14">
        <v>45695</v>
      </c>
      <c r="D7" s="13" t="s">
        <v>23</v>
      </c>
      <c r="E7" s="13" t="s">
        <v>24</v>
      </c>
      <c r="F7" s="13" t="s">
        <v>31</v>
      </c>
      <c r="G7" s="12">
        <v>2</v>
      </c>
      <c r="H7" s="12">
        <v>2729</v>
      </c>
      <c r="I7" s="12">
        <v>5458</v>
      </c>
      <c r="J7" s="13" t="s">
        <v>17</v>
      </c>
    </row>
    <row r="8" ht="14.25" spans="1:12">
      <c r="A8" s="12">
        <v>1006</v>
      </c>
      <c r="B8" s="13" t="s">
        <v>32</v>
      </c>
      <c r="C8" s="14">
        <v>45756</v>
      </c>
      <c r="D8" s="13" t="s">
        <v>33</v>
      </c>
      <c r="E8" s="13" t="s">
        <v>34</v>
      </c>
      <c r="F8" s="13" t="s">
        <v>35</v>
      </c>
      <c r="G8" s="12">
        <v>6</v>
      </c>
      <c r="H8" s="12">
        <v>4356</v>
      </c>
      <c r="I8" s="12">
        <v>26136</v>
      </c>
      <c r="J8" s="13" t="s">
        <v>21</v>
      </c>
    </row>
    <row r="9" ht="14.25" spans="1:12">
      <c r="A9" s="12">
        <v>1007</v>
      </c>
      <c r="B9" s="13" t="s">
        <v>36</v>
      </c>
      <c r="C9" s="14">
        <v>45826</v>
      </c>
      <c r="D9" s="13" t="s">
        <v>23</v>
      </c>
      <c r="E9" s="13" t="s">
        <v>37</v>
      </c>
      <c r="F9" s="13" t="s">
        <v>38</v>
      </c>
      <c r="G9" s="12">
        <v>7</v>
      </c>
      <c r="H9" s="12">
        <v>2971</v>
      </c>
      <c r="I9" s="12">
        <v>20797</v>
      </c>
      <c r="J9" s="13" t="s">
        <v>14</v>
      </c>
    </row>
    <row r="10" ht="14.25" spans="1:12">
      <c r="A10" s="12">
        <v>1008</v>
      </c>
      <c r="B10" s="13" t="s">
        <v>39</v>
      </c>
      <c r="C10" s="14">
        <v>45716</v>
      </c>
      <c r="D10" s="13" t="s">
        <v>40</v>
      </c>
      <c r="E10" s="13" t="s">
        <v>41</v>
      </c>
      <c r="F10" s="13" t="s">
        <v>42</v>
      </c>
      <c r="G10" s="12">
        <v>10</v>
      </c>
      <c r="H10" s="12">
        <v>701</v>
      </c>
      <c r="I10" s="12">
        <v>7010</v>
      </c>
      <c r="J10" s="13" t="s">
        <v>29</v>
      </c>
    </row>
    <row r="11" ht="14.25" spans="1:12">
      <c r="A11" s="12">
        <v>1009</v>
      </c>
      <c r="B11" s="13" t="s">
        <v>43</v>
      </c>
      <c r="C11" s="14">
        <v>45691</v>
      </c>
      <c r="D11" s="13" t="s">
        <v>33</v>
      </c>
      <c r="E11" s="13" t="s">
        <v>44</v>
      </c>
      <c r="F11" s="13" t="s">
        <v>45</v>
      </c>
      <c r="G11" s="12">
        <v>1</v>
      </c>
      <c r="H11" s="12">
        <v>4454</v>
      </c>
      <c r="I11" s="12">
        <v>4454</v>
      </c>
      <c r="J11" s="13" t="s">
        <v>21</v>
      </c>
    </row>
    <row r="12" ht="14.25" spans="1:12">
      <c r="A12" s="12">
        <v>1010</v>
      </c>
      <c r="B12" s="13" t="s">
        <v>46</v>
      </c>
      <c r="C12" s="14">
        <v>45664</v>
      </c>
      <c r="D12" s="13" t="s">
        <v>40</v>
      </c>
      <c r="E12" s="13" t="s">
        <v>47</v>
      </c>
      <c r="F12" s="13" t="s">
        <v>48</v>
      </c>
      <c r="G12" s="12">
        <v>2</v>
      </c>
      <c r="H12" s="12">
        <v>4917</v>
      </c>
      <c r="I12" s="12">
        <v>9834</v>
      </c>
      <c r="J12" s="13" t="s">
        <v>17</v>
      </c>
    </row>
    <row r="13" ht="14.25" spans="1:12">
      <c r="A13" s="12">
        <v>1011</v>
      </c>
      <c r="B13" s="13" t="s">
        <v>49</v>
      </c>
      <c r="C13" s="14">
        <v>45732</v>
      </c>
      <c r="D13" s="13" t="s">
        <v>23</v>
      </c>
      <c r="E13" s="13" t="s">
        <v>50</v>
      </c>
      <c r="F13" s="13" t="s">
        <v>51</v>
      </c>
      <c r="G13" s="12">
        <v>10</v>
      </c>
      <c r="H13" s="12">
        <v>1759</v>
      </c>
      <c r="I13" s="12">
        <v>17590</v>
      </c>
      <c r="J13" s="13" t="s">
        <v>14</v>
      </c>
    </row>
    <row r="14" ht="14.25" spans="1:12">
      <c r="A14" s="12">
        <v>1012</v>
      </c>
      <c r="B14" s="13" t="s">
        <v>52</v>
      </c>
      <c r="C14" s="14">
        <v>45683</v>
      </c>
      <c r="D14" s="13" t="s">
        <v>33</v>
      </c>
      <c r="E14" s="13" t="s">
        <v>53</v>
      </c>
      <c r="F14" s="13" t="s">
        <v>54</v>
      </c>
      <c r="G14" s="12">
        <v>10</v>
      </c>
      <c r="H14" s="12">
        <v>781</v>
      </c>
      <c r="I14" s="12">
        <v>7810</v>
      </c>
      <c r="J14" s="13" t="s">
        <v>17</v>
      </c>
    </row>
    <row r="15" ht="14.25" spans="1:12">
      <c r="A15" s="12">
        <v>1013</v>
      </c>
      <c r="B15" s="13" t="s">
        <v>55</v>
      </c>
      <c r="C15" s="14">
        <v>45767</v>
      </c>
      <c r="D15" s="13" t="s">
        <v>33</v>
      </c>
      <c r="E15" s="13" t="s">
        <v>53</v>
      </c>
      <c r="F15" s="13" t="s">
        <v>56</v>
      </c>
      <c r="G15" s="12">
        <v>1</v>
      </c>
      <c r="H15" s="12">
        <v>2754</v>
      </c>
      <c r="I15" s="12">
        <v>2754</v>
      </c>
      <c r="J15" s="13" t="s">
        <v>21</v>
      </c>
    </row>
    <row r="16" ht="14.25" spans="1:12">
      <c r="A16" s="12">
        <v>1014</v>
      </c>
      <c r="B16" s="13" t="s">
        <v>57</v>
      </c>
      <c r="C16" s="14">
        <v>45807</v>
      </c>
      <c r="D16" s="13" t="s">
        <v>33</v>
      </c>
      <c r="E16" s="13" t="s">
        <v>53</v>
      </c>
      <c r="F16" s="13" t="s">
        <v>58</v>
      </c>
      <c r="G16" s="12">
        <v>7</v>
      </c>
      <c r="H16" s="12">
        <v>737</v>
      </c>
      <c r="I16" s="12">
        <v>5159</v>
      </c>
      <c r="J16" s="13" t="s">
        <v>17</v>
      </c>
    </row>
    <row r="17" ht="14.25" spans="1:10">
      <c r="A17" s="12">
        <v>1015</v>
      </c>
      <c r="B17" s="13" t="s">
        <v>59</v>
      </c>
      <c r="C17" s="14">
        <v>45782</v>
      </c>
      <c r="D17" s="13" t="s">
        <v>11</v>
      </c>
      <c r="E17" s="13" t="s">
        <v>12</v>
      </c>
      <c r="F17" s="13" t="s">
        <v>60</v>
      </c>
      <c r="G17" s="12">
        <v>3</v>
      </c>
      <c r="H17" s="12">
        <v>1559</v>
      </c>
      <c r="I17" s="12">
        <v>4677</v>
      </c>
      <c r="J17" s="13" t="s">
        <v>21</v>
      </c>
    </row>
    <row r="18" ht="14.25" spans="1:10">
      <c r="A18" s="12">
        <v>1016</v>
      </c>
      <c r="B18" s="13" t="s">
        <v>61</v>
      </c>
      <c r="C18" s="14">
        <v>45751</v>
      </c>
      <c r="D18" s="13" t="s">
        <v>33</v>
      </c>
      <c r="E18" s="13" t="s">
        <v>34</v>
      </c>
      <c r="F18" s="13" t="s">
        <v>62</v>
      </c>
      <c r="G18" s="12">
        <v>2</v>
      </c>
      <c r="H18" s="12">
        <v>2413</v>
      </c>
      <c r="I18" s="12">
        <v>4826</v>
      </c>
      <c r="J18" s="13" t="s">
        <v>14</v>
      </c>
    </row>
    <row r="19" ht="14.25" spans="1:10">
      <c r="A19" s="12">
        <v>1017</v>
      </c>
      <c r="B19" s="13" t="s">
        <v>63</v>
      </c>
      <c r="C19" s="14">
        <v>45730</v>
      </c>
      <c r="D19" s="13" t="s">
        <v>11</v>
      </c>
      <c r="E19" s="13" t="s">
        <v>12</v>
      </c>
      <c r="F19" s="13" t="s">
        <v>64</v>
      </c>
      <c r="G19" s="12">
        <v>3</v>
      </c>
      <c r="H19" s="12">
        <v>3222</v>
      </c>
      <c r="I19" s="12">
        <v>9666</v>
      </c>
      <c r="J19" s="13" t="s">
        <v>17</v>
      </c>
    </row>
    <row r="20" ht="14.25" spans="1:10">
      <c r="A20" s="12">
        <v>1018</v>
      </c>
      <c r="B20" s="13" t="s">
        <v>65</v>
      </c>
      <c r="C20" s="14">
        <v>45792</v>
      </c>
      <c r="D20" s="13" t="s">
        <v>23</v>
      </c>
      <c r="E20" s="13" t="s">
        <v>27</v>
      </c>
      <c r="F20" s="13" t="s">
        <v>66</v>
      </c>
      <c r="G20" s="12">
        <v>6</v>
      </c>
      <c r="H20" s="12">
        <v>4966</v>
      </c>
      <c r="I20" s="12">
        <v>29796</v>
      </c>
      <c r="J20" s="13" t="s">
        <v>29</v>
      </c>
    </row>
    <row r="21" ht="14.25" spans="1:10">
      <c r="A21" s="12">
        <v>1019</v>
      </c>
      <c r="B21" s="13" t="s">
        <v>67</v>
      </c>
      <c r="C21" s="14">
        <v>45738</v>
      </c>
      <c r="D21" s="13" t="s">
        <v>33</v>
      </c>
      <c r="E21" s="13" t="s">
        <v>44</v>
      </c>
      <c r="F21" s="13" t="s">
        <v>68</v>
      </c>
      <c r="G21" s="12">
        <v>10</v>
      </c>
      <c r="H21" s="12">
        <v>4499</v>
      </c>
      <c r="I21" s="12">
        <v>44990</v>
      </c>
      <c r="J21" s="13" t="s">
        <v>14</v>
      </c>
    </row>
    <row r="22" ht="14.25" spans="1:10">
      <c r="A22" s="12">
        <v>1020</v>
      </c>
      <c r="B22" s="13" t="s">
        <v>69</v>
      </c>
      <c r="C22" s="14">
        <v>45713</v>
      </c>
      <c r="D22" s="13" t="s">
        <v>40</v>
      </c>
      <c r="E22" s="13" t="s">
        <v>41</v>
      </c>
      <c r="F22" s="13" t="s">
        <v>70</v>
      </c>
      <c r="G22" s="12">
        <v>5</v>
      </c>
      <c r="H22" s="12">
        <v>2660</v>
      </c>
      <c r="I22" s="12">
        <v>13300</v>
      </c>
      <c r="J22" s="13" t="s">
        <v>29</v>
      </c>
    </row>
    <row r="23" ht="14.25" spans="1:10">
      <c r="A23" s="12">
        <v>1021</v>
      </c>
      <c r="B23" s="13" t="s">
        <v>71</v>
      </c>
      <c r="C23" s="14">
        <v>45768</v>
      </c>
      <c r="D23" s="13" t="s">
        <v>11</v>
      </c>
      <c r="E23" s="13" t="s">
        <v>72</v>
      </c>
      <c r="F23" s="13" t="s">
        <v>73</v>
      </c>
      <c r="G23" s="12">
        <v>2</v>
      </c>
      <c r="H23" s="12">
        <v>732</v>
      </c>
      <c r="I23" s="12">
        <v>1464</v>
      </c>
      <c r="J23" s="13" t="s">
        <v>29</v>
      </c>
    </row>
    <row r="24" ht="14.25" spans="1:10">
      <c r="A24" s="12">
        <v>1022</v>
      </c>
      <c r="B24" s="13" t="s">
        <v>74</v>
      </c>
      <c r="C24" s="14">
        <v>45777</v>
      </c>
      <c r="D24" s="13" t="s">
        <v>11</v>
      </c>
      <c r="E24" s="13" t="s">
        <v>19</v>
      </c>
      <c r="F24" s="13" t="s">
        <v>75</v>
      </c>
      <c r="G24" s="12">
        <v>10</v>
      </c>
      <c r="H24" s="12">
        <v>2056</v>
      </c>
      <c r="I24" s="12">
        <v>20560</v>
      </c>
      <c r="J24" s="13" t="s">
        <v>21</v>
      </c>
    </row>
    <row r="25" ht="14.25" spans="1:10">
      <c r="A25" s="12">
        <v>1023</v>
      </c>
      <c r="B25" s="13" t="s">
        <v>76</v>
      </c>
      <c r="C25" s="14">
        <v>45824</v>
      </c>
      <c r="D25" s="13" t="s">
        <v>23</v>
      </c>
      <c r="E25" s="13" t="s">
        <v>27</v>
      </c>
      <c r="F25" s="13" t="s">
        <v>77</v>
      </c>
      <c r="G25" s="12">
        <v>1</v>
      </c>
      <c r="H25" s="12">
        <v>262</v>
      </c>
      <c r="I25" s="12">
        <v>262</v>
      </c>
      <c r="J25" s="13" t="s">
        <v>21</v>
      </c>
    </row>
    <row r="26" ht="14.25" spans="1:10">
      <c r="A26" s="12">
        <v>1024</v>
      </c>
      <c r="B26" s="13" t="s">
        <v>78</v>
      </c>
      <c r="C26" s="14">
        <v>45687</v>
      </c>
      <c r="D26" s="13" t="s">
        <v>33</v>
      </c>
      <c r="E26" s="13" t="s">
        <v>34</v>
      </c>
      <c r="F26" s="13" t="s">
        <v>79</v>
      </c>
      <c r="G26" s="12">
        <v>6</v>
      </c>
      <c r="H26" s="12">
        <v>4511</v>
      </c>
      <c r="I26" s="12">
        <v>27066</v>
      </c>
      <c r="J26" s="13" t="s">
        <v>21</v>
      </c>
    </row>
    <row r="27" ht="14.25" spans="1:10">
      <c r="A27" s="12">
        <v>1025</v>
      </c>
      <c r="B27" s="13" t="s">
        <v>80</v>
      </c>
      <c r="C27" s="14">
        <v>45732</v>
      </c>
      <c r="D27" s="13" t="s">
        <v>23</v>
      </c>
      <c r="E27" s="13" t="s">
        <v>37</v>
      </c>
      <c r="F27" s="13" t="s">
        <v>81</v>
      </c>
      <c r="G27" s="12">
        <v>2</v>
      </c>
      <c r="H27" s="12">
        <v>1360</v>
      </c>
      <c r="I27" s="12">
        <v>2720</v>
      </c>
      <c r="J27" s="13" t="s">
        <v>17</v>
      </c>
    </row>
    <row r="28" ht="14.25" spans="1:10">
      <c r="A28" s="12">
        <v>1026</v>
      </c>
      <c r="B28" s="13" t="s">
        <v>82</v>
      </c>
      <c r="C28" s="14">
        <v>45666</v>
      </c>
      <c r="D28" s="13" t="s">
        <v>33</v>
      </c>
      <c r="E28" s="13" t="s">
        <v>34</v>
      </c>
      <c r="F28" s="13" t="s">
        <v>83</v>
      </c>
      <c r="G28" s="12">
        <v>8</v>
      </c>
      <c r="H28" s="12">
        <v>2262</v>
      </c>
      <c r="I28" s="12">
        <v>18096</v>
      </c>
      <c r="J28" s="13" t="s">
        <v>17</v>
      </c>
    </row>
    <row r="29" ht="14.25" spans="1:10">
      <c r="A29" s="12">
        <v>1027</v>
      </c>
      <c r="B29" s="13" t="s">
        <v>84</v>
      </c>
      <c r="C29" s="14">
        <v>45764</v>
      </c>
      <c r="D29" s="13" t="s">
        <v>23</v>
      </c>
      <c r="E29" s="13" t="s">
        <v>24</v>
      </c>
      <c r="F29" s="13" t="s">
        <v>85</v>
      </c>
      <c r="G29" s="12">
        <v>1</v>
      </c>
      <c r="H29" s="12">
        <v>1711</v>
      </c>
      <c r="I29" s="12">
        <v>1711</v>
      </c>
      <c r="J29" s="13" t="s">
        <v>29</v>
      </c>
    </row>
    <row r="30" ht="14.25" spans="1:10">
      <c r="A30" s="12">
        <v>1028</v>
      </c>
      <c r="B30" s="13" t="s">
        <v>86</v>
      </c>
      <c r="C30" s="14">
        <v>45800</v>
      </c>
      <c r="D30" s="13" t="s">
        <v>11</v>
      </c>
      <c r="E30" s="13" t="s">
        <v>19</v>
      </c>
      <c r="F30" s="13" t="s">
        <v>87</v>
      </c>
      <c r="G30" s="12">
        <v>1</v>
      </c>
      <c r="H30" s="12">
        <v>2195</v>
      </c>
      <c r="I30" s="12">
        <v>2195</v>
      </c>
      <c r="J30" s="13" t="s">
        <v>14</v>
      </c>
    </row>
    <row r="31" ht="14.25" spans="1:10">
      <c r="A31" s="12">
        <v>1029</v>
      </c>
      <c r="B31" s="13" t="s">
        <v>88</v>
      </c>
      <c r="C31" s="14">
        <v>45761</v>
      </c>
      <c r="D31" s="13" t="s">
        <v>33</v>
      </c>
      <c r="E31" s="13" t="s">
        <v>89</v>
      </c>
      <c r="F31" s="13" t="s">
        <v>90</v>
      </c>
      <c r="G31" s="12">
        <v>9</v>
      </c>
      <c r="H31" s="12">
        <v>1305</v>
      </c>
      <c r="I31" s="12">
        <v>11745</v>
      </c>
      <c r="J31" s="13" t="s">
        <v>21</v>
      </c>
    </row>
    <row r="32" ht="14.25" spans="1:10">
      <c r="A32" s="12">
        <v>1030</v>
      </c>
      <c r="B32" s="13" t="s">
        <v>91</v>
      </c>
      <c r="C32" s="14">
        <v>45788</v>
      </c>
      <c r="D32" s="13" t="s">
        <v>40</v>
      </c>
      <c r="E32" s="13" t="s">
        <v>92</v>
      </c>
      <c r="F32" s="13" t="s">
        <v>93</v>
      </c>
      <c r="G32" s="12">
        <v>9</v>
      </c>
      <c r="H32" s="12">
        <v>2864</v>
      </c>
      <c r="I32" s="12">
        <v>25776</v>
      </c>
      <c r="J32" s="13" t="s">
        <v>17</v>
      </c>
    </row>
    <row r="33" ht="14.25" spans="1:10">
      <c r="A33" s="12">
        <v>1031</v>
      </c>
      <c r="B33" s="13" t="s">
        <v>94</v>
      </c>
      <c r="C33" s="14">
        <v>45757</v>
      </c>
      <c r="D33" s="13" t="s">
        <v>23</v>
      </c>
      <c r="E33" s="13" t="s">
        <v>50</v>
      </c>
      <c r="F33" s="13" t="s">
        <v>95</v>
      </c>
      <c r="G33" s="12">
        <v>4</v>
      </c>
      <c r="H33" s="12">
        <v>1142</v>
      </c>
      <c r="I33" s="12">
        <v>4568</v>
      </c>
      <c r="J33" s="13" t="s">
        <v>29</v>
      </c>
    </row>
    <row r="34" ht="14.25" spans="1:10">
      <c r="A34" s="12">
        <v>1032</v>
      </c>
      <c r="B34" s="13" t="s">
        <v>96</v>
      </c>
      <c r="C34" s="14">
        <v>45663</v>
      </c>
      <c r="D34" s="13" t="s">
        <v>33</v>
      </c>
      <c r="E34" s="13" t="s">
        <v>34</v>
      </c>
      <c r="F34" s="13" t="s">
        <v>97</v>
      </c>
      <c r="G34" s="12">
        <v>6</v>
      </c>
      <c r="H34" s="12">
        <v>1054</v>
      </c>
      <c r="I34" s="12">
        <v>6324</v>
      </c>
      <c r="J34" s="13" t="s">
        <v>21</v>
      </c>
    </row>
    <row r="35" ht="14.25" spans="1:10">
      <c r="A35" s="12">
        <v>1033</v>
      </c>
      <c r="B35" s="13" t="s">
        <v>98</v>
      </c>
      <c r="C35" s="14">
        <v>45794</v>
      </c>
      <c r="D35" s="13" t="s">
        <v>40</v>
      </c>
      <c r="E35" s="13" t="s">
        <v>47</v>
      </c>
      <c r="F35" s="13" t="s">
        <v>99</v>
      </c>
      <c r="G35" s="12">
        <v>6</v>
      </c>
      <c r="H35" s="12">
        <v>2564</v>
      </c>
      <c r="I35" s="12">
        <v>15384</v>
      </c>
      <c r="J35" s="13" t="s">
        <v>29</v>
      </c>
    </row>
    <row r="36" ht="14.25" spans="1:10">
      <c r="A36" s="12">
        <v>1034</v>
      </c>
      <c r="B36" s="13" t="s">
        <v>100</v>
      </c>
      <c r="C36" s="14">
        <v>45697</v>
      </c>
      <c r="D36" s="13" t="s">
        <v>33</v>
      </c>
      <c r="E36" s="13" t="s">
        <v>44</v>
      </c>
      <c r="F36" s="13" t="s">
        <v>101</v>
      </c>
      <c r="G36" s="12">
        <v>7</v>
      </c>
      <c r="H36" s="12">
        <v>548</v>
      </c>
      <c r="I36" s="12">
        <v>3836</v>
      </c>
      <c r="J36" s="13" t="s">
        <v>21</v>
      </c>
    </row>
    <row r="37" ht="14.25" spans="1:10">
      <c r="A37" s="12">
        <v>1035</v>
      </c>
      <c r="B37" s="13" t="s">
        <v>102</v>
      </c>
      <c r="C37" s="14">
        <v>45828</v>
      </c>
      <c r="D37" s="13" t="s">
        <v>33</v>
      </c>
      <c r="E37" s="13" t="s">
        <v>34</v>
      </c>
      <c r="F37" s="13" t="s">
        <v>103</v>
      </c>
      <c r="G37" s="12">
        <v>9</v>
      </c>
      <c r="H37" s="12">
        <v>1006</v>
      </c>
      <c r="I37" s="12">
        <v>9054</v>
      </c>
      <c r="J37" s="13" t="s">
        <v>14</v>
      </c>
    </row>
    <row r="38" ht="14.25" spans="1:10">
      <c r="A38" s="12">
        <v>1036</v>
      </c>
      <c r="B38" s="13" t="s">
        <v>104</v>
      </c>
      <c r="C38" s="14">
        <v>45680</v>
      </c>
      <c r="D38" s="13" t="s">
        <v>23</v>
      </c>
      <c r="E38" s="13" t="s">
        <v>50</v>
      </c>
      <c r="F38" s="13" t="s">
        <v>105</v>
      </c>
      <c r="G38" s="12">
        <v>5</v>
      </c>
      <c r="H38" s="12">
        <v>2671</v>
      </c>
      <c r="I38" s="12">
        <v>13355</v>
      </c>
      <c r="J38" s="13" t="s">
        <v>14</v>
      </c>
    </row>
    <row r="39" ht="14.25" spans="1:10">
      <c r="A39" s="12">
        <v>1037</v>
      </c>
      <c r="B39" s="13" t="s">
        <v>106</v>
      </c>
      <c r="C39" s="14">
        <v>45669</v>
      </c>
      <c r="D39" s="13" t="s">
        <v>23</v>
      </c>
      <c r="E39" s="13" t="s">
        <v>27</v>
      </c>
      <c r="F39" s="13" t="s">
        <v>107</v>
      </c>
      <c r="G39" s="12">
        <v>1</v>
      </c>
      <c r="H39" s="12">
        <v>3500</v>
      </c>
      <c r="I39" s="12">
        <v>3500</v>
      </c>
      <c r="J39" s="13" t="s">
        <v>14</v>
      </c>
    </row>
    <row r="40" ht="14.25" spans="1:10">
      <c r="A40" s="12">
        <v>1038</v>
      </c>
      <c r="B40" s="13" t="s">
        <v>108</v>
      </c>
      <c r="C40" s="14">
        <v>45718</v>
      </c>
      <c r="D40" s="13" t="s">
        <v>40</v>
      </c>
      <c r="E40" s="13" t="s">
        <v>47</v>
      </c>
      <c r="F40" s="13" t="s">
        <v>109</v>
      </c>
      <c r="G40" s="12">
        <v>1</v>
      </c>
      <c r="H40" s="12">
        <v>253</v>
      </c>
      <c r="I40" s="12">
        <v>253</v>
      </c>
      <c r="J40" s="13" t="s">
        <v>29</v>
      </c>
    </row>
    <row r="41" ht="14.25" spans="1:10">
      <c r="A41" s="12">
        <v>1039</v>
      </c>
      <c r="B41" s="13" t="s">
        <v>110</v>
      </c>
      <c r="C41" s="14">
        <v>45704</v>
      </c>
      <c r="D41" s="13" t="s">
        <v>23</v>
      </c>
      <c r="E41" s="13" t="s">
        <v>24</v>
      </c>
      <c r="F41" s="13" t="s">
        <v>111</v>
      </c>
      <c r="G41" s="12">
        <v>5</v>
      </c>
      <c r="H41" s="12">
        <v>2697</v>
      </c>
      <c r="I41" s="12">
        <v>13485</v>
      </c>
      <c r="J41" s="13" t="s">
        <v>14</v>
      </c>
    </row>
    <row r="42" ht="14.25" spans="1:10">
      <c r="A42" s="12">
        <v>1040</v>
      </c>
      <c r="B42" s="13" t="s">
        <v>112</v>
      </c>
      <c r="C42" s="14">
        <v>45809</v>
      </c>
      <c r="D42" s="13" t="s">
        <v>33</v>
      </c>
      <c r="E42" s="13" t="s">
        <v>53</v>
      </c>
      <c r="F42" s="13" t="s">
        <v>113</v>
      </c>
      <c r="G42" s="12">
        <v>7</v>
      </c>
      <c r="H42" s="12">
        <v>998</v>
      </c>
      <c r="I42" s="12">
        <v>6986</v>
      </c>
      <c r="J42" s="13" t="s">
        <v>29</v>
      </c>
    </row>
    <row r="43" ht="14.25" spans="1:10">
      <c r="A43" s="12">
        <v>1041</v>
      </c>
      <c r="B43" s="13" t="s">
        <v>114</v>
      </c>
      <c r="C43" s="14">
        <v>45731</v>
      </c>
      <c r="D43" s="13" t="s">
        <v>23</v>
      </c>
      <c r="E43" s="13" t="s">
        <v>37</v>
      </c>
      <c r="F43" s="13" t="s">
        <v>115</v>
      </c>
      <c r="G43" s="12">
        <v>1</v>
      </c>
      <c r="H43" s="12">
        <v>847</v>
      </c>
      <c r="I43" s="12">
        <v>847</v>
      </c>
      <c r="J43" s="13" t="s">
        <v>17</v>
      </c>
    </row>
    <row r="44" ht="14.25" spans="1:10">
      <c r="A44" s="12">
        <v>1042</v>
      </c>
      <c r="B44" s="13" t="s">
        <v>116</v>
      </c>
      <c r="C44" s="14">
        <v>45818</v>
      </c>
      <c r="D44" s="13" t="s">
        <v>11</v>
      </c>
      <c r="E44" s="13" t="s">
        <v>19</v>
      </c>
      <c r="F44" s="13" t="s">
        <v>117</v>
      </c>
      <c r="G44" s="12">
        <v>7</v>
      </c>
      <c r="H44" s="12">
        <v>3445</v>
      </c>
      <c r="I44" s="12">
        <v>24115</v>
      </c>
      <c r="J44" s="13" t="s">
        <v>17</v>
      </c>
    </row>
    <row r="45" ht="14.25" spans="1:10">
      <c r="A45" s="12">
        <v>1043</v>
      </c>
      <c r="B45" s="13" t="s">
        <v>118</v>
      </c>
      <c r="C45" s="14">
        <v>45673</v>
      </c>
      <c r="D45" s="13" t="s">
        <v>11</v>
      </c>
      <c r="E45" s="13" t="s">
        <v>119</v>
      </c>
      <c r="F45" s="13" t="s">
        <v>120</v>
      </c>
      <c r="G45" s="12">
        <v>1</v>
      </c>
      <c r="H45" s="12">
        <v>2410</v>
      </c>
      <c r="I45" s="12">
        <v>2410</v>
      </c>
      <c r="J45" s="13" t="s">
        <v>17</v>
      </c>
    </row>
    <row r="46" ht="14.25" spans="1:10">
      <c r="A46" s="12">
        <v>1044</v>
      </c>
      <c r="B46" s="13" t="s">
        <v>121</v>
      </c>
      <c r="C46" s="14">
        <v>45672</v>
      </c>
      <c r="D46" s="13" t="s">
        <v>40</v>
      </c>
      <c r="E46" s="13" t="s">
        <v>122</v>
      </c>
      <c r="F46" s="13" t="s">
        <v>123</v>
      </c>
      <c r="G46" s="12">
        <v>4</v>
      </c>
      <c r="H46" s="12">
        <v>1351</v>
      </c>
      <c r="I46" s="12">
        <v>5404</v>
      </c>
      <c r="J46" s="13" t="s">
        <v>29</v>
      </c>
    </row>
    <row r="47" ht="14.25" spans="1:10">
      <c r="A47" s="12">
        <v>1045</v>
      </c>
      <c r="B47" s="13" t="s">
        <v>124</v>
      </c>
      <c r="C47" s="14">
        <v>45771</v>
      </c>
      <c r="D47" s="13" t="s">
        <v>33</v>
      </c>
      <c r="E47" s="13" t="s">
        <v>44</v>
      </c>
      <c r="F47" s="13" t="s">
        <v>125</v>
      </c>
      <c r="G47" s="12">
        <v>2</v>
      </c>
      <c r="H47" s="12">
        <v>3160</v>
      </c>
      <c r="I47" s="12">
        <v>6320</v>
      </c>
      <c r="J47" s="13" t="s">
        <v>17</v>
      </c>
    </row>
    <row r="48" ht="14.25" spans="1:10">
      <c r="A48" s="12">
        <v>1046</v>
      </c>
      <c r="B48" s="13" t="s">
        <v>126</v>
      </c>
      <c r="C48" s="14">
        <v>45681</v>
      </c>
      <c r="D48" s="13" t="s">
        <v>23</v>
      </c>
      <c r="E48" s="13" t="s">
        <v>37</v>
      </c>
      <c r="F48" s="13" t="s">
        <v>127</v>
      </c>
      <c r="G48" s="12">
        <v>10</v>
      </c>
      <c r="H48" s="12">
        <v>1397</v>
      </c>
      <c r="I48" s="12">
        <v>13970</v>
      </c>
      <c r="J48" s="13" t="s">
        <v>21</v>
      </c>
    </row>
    <row r="49" ht="14.25" spans="1:10">
      <c r="A49" s="12">
        <v>1047</v>
      </c>
      <c r="B49" s="13" t="s">
        <v>128</v>
      </c>
      <c r="C49" s="14">
        <v>45711</v>
      </c>
      <c r="D49" s="13" t="s">
        <v>33</v>
      </c>
      <c r="E49" s="13" t="s">
        <v>44</v>
      </c>
      <c r="F49" s="13" t="s">
        <v>129</v>
      </c>
      <c r="G49" s="12">
        <v>5</v>
      </c>
      <c r="H49" s="12">
        <v>1029</v>
      </c>
      <c r="I49" s="12">
        <v>5145</v>
      </c>
      <c r="J49" s="13" t="s">
        <v>17</v>
      </c>
    </row>
    <row r="50" ht="14.25" spans="1:10">
      <c r="A50" s="12">
        <v>1048</v>
      </c>
      <c r="B50" s="13" t="s">
        <v>130</v>
      </c>
      <c r="C50" s="14">
        <v>45681</v>
      </c>
      <c r="D50" s="13" t="s">
        <v>23</v>
      </c>
      <c r="E50" s="13" t="s">
        <v>37</v>
      </c>
      <c r="F50" s="13" t="s">
        <v>131</v>
      </c>
      <c r="G50" s="12">
        <v>3</v>
      </c>
      <c r="H50" s="12">
        <v>2006</v>
      </c>
      <c r="I50" s="12">
        <v>6018</v>
      </c>
      <c r="J50" s="13" t="s">
        <v>21</v>
      </c>
    </row>
    <row r="51" ht="14.25" spans="1:10">
      <c r="A51" s="12">
        <v>1049</v>
      </c>
      <c r="B51" s="13" t="s">
        <v>132</v>
      </c>
      <c r="C51" s="14">
        <v>45758</v>
      </c>
      <c r="D51" s="13" t="s">
        <v>11</v>
      </c>
      <c r="E51" s="13" t="s">
        <v>19</v>
      </c>
      <c r="F51" s="13" t="s">
        <v>133</v>
      </c>
      <c r="G51" s="12">
        <v>7</v>
      </c>
      <c r="H51" s="12">
        <v>1900</v>
      </c>
      <c r="I51" s="12">
        <v>13300</v>
      </c>
      <c r="J51" s="13" t="s">
        <v>17</v>
      </c>
    </row>
    <row r="52" ht="14.25" spans="1:10">
      <c r="A52" s="12">
        <v>1050</v>
      </c>
      <c r="B52" s="13" t="s">
        <v>134</v>
      </c>
      <c r="C52" s="14">
        <v>45714</v>
      </c>
      <c r="D52" s="13" t="s">
        <v>40</v>
      </c>
      <c r="E52" s="13" t="s">
        <v>41</v>
      </c>
      <c r="F52" s="13" t="s">
        <v>135</v>
      </c>
      <c r="G52" s="12">
        <v>3</v>
      </c>
      <c r="H52" s="12">
        <v>1892</v>
      </c>
      <c r="I52" s="12">
        <v>5676</v>
      </c>
      <c r="J52" s="13" t="s">
        <v>17</v>
      </c>
    </row>
    <row r="53" ht="14.25" spans="1:10">
      <c r="A53" s="12">
        <v>1051</v>
      </c>
      <c r="B53" s="13" t="s">
        <v>136</v>
      </c>
      <c r="C53" s="14">
        <v>45821</v>
      </c>
      <c r="D53" s="13" t="s">
        <v>11</v>
      </c>
      <c r="E53" s="13" t="s">
        <v>119</v>
      </c>
      <c r="F53" s="13" t="s">
        <v>137</v>
      </c>
      <c r="G53" s="12">
        <v>3</v>
      </c>
      <c r="H53" s="12">
        <v>496</v>
      </c>
      <c r="I53" s="12">
        <v>1488</v>
      </c>
      <c r="J53" s="13" t="s">
        <v>17</v>
      </c>
    </row>
    <row r="54" ht="14.25" spans="1:10">
      <c r="A54" s="12">
        <v>1052</v>
      </c>
      <c r="B54" s="13" t="s">
        <v>138</v>
      </c>
      <c r="C54" s="14">
        <v>45740</v>
      </c>
      <c r="D54" s="13" t="s">
        <v>33</v>
      </c>
      <c r="E54" s="13" t="s">
        <v>34</v>
      </c>
      <c r="F54" s="13" t="s">
        <v>139</v>
      </c>
      <c r="G54" s="12">
        <v>5</v>
      </c>
      <c r="H54" s="12">
        <v>3550</v>
      </c>
      <c r="I54" s="12">
        <v>17750</v>
      </c>
      <c r="J54" s="13" t="s">
        <v>29</v>
      </c>
    </row>
    <row r="55" ht="14.25" spans="1:10">
      <c r="A55" s="12">
        <v>1053</v>
      </c>
      <c r="B55" s="13" t="s">
        <v>140</v>
      </c>
      <c r="C55" s="14">
        <v>45783</v>
      </c>
      <c r="D55" s="13" t="s">
        <v>11</v>
      </c>
      <c r="E55" s="13" t="s">
        <v>72</v>
      </c>
      <c r="F55" s="13" t="s">
        <v>141</v>
      </c>
      <c r="G55" s="12">
        <v>9</v>
      </c>
      <c r="H55" s="12">
        <v>270</v>
      </c>
      <c r="I55" s="12">
        <v>2430</v>
      </c>
      <c r="J55" s="13" t="s">
        <v>14</v>
      </c>
    </row>
    <row r="56" ht="14.25" spans="1:10">
      <c r="A56" s="12">
        <v>1054</v>
      </c>
      <c r="B56" s="13" t="s">
        <v>142</v>
      </c>
      <c r="C56" s="14">
        <v>45670</v>
      </c>
      <c r="D56" s="13" t="s">
        <v>23</v>
      </c>
      <c r="E56" s="13" t="s">
        <v>50</v>
      </c>
      <c r="F56" s="13" t="s">
        <v>143</v>
      </c>
      <c r="G56" s="12">
        <v>1</v>
      </c>
      <c r="H56" s="12">
        <v>3885</v>
      </c>
      <c r="I56" s="12">
        <v>3885</v>
      </c>
      <c r="J56" s="13" t="s">
        <v>17</v>
      </c>
    </row>
    <row r="57" ht="14.25" spans="1:10">
      <c r="A57" s="12">
        <v>1055</v>
      </c>
      <c r="B57" s="13" t="s">
        <v>144</v>
      </c>
      <c r="C57" s="14">
        <v>45780</v>
      </c>
      <c r="D57" s="13" t="s">
        <v>40</v>
      </c>
      <c r="E57" s="13" t="s">
        <v>41</v>
      </c>
      <c r="F57" s="13" t="s">
        <v>145</v>
      </c>
      <c r="G57" s="12">
        <v>2</v>
      </c>
      <c r="H57" s="12">
        <v>4750</v>
      </c>
      <c r="I57" s="12">
        <v>9500</v>
      </c>
      <c r="J57" s="13" t="s">
        <v>29</v>
      </c>
    </row>
    <row r="58" ht="14.25" spans="1:10">
      <c r="A58" s="12">
        <v>1056</v>
      </c>
      <c r="B58" s="13" t="s">
        <v>146</v>
      </c>
      <c r="C58" s="14">
        <v>45770</v>
      </c>
      <c r="D58" s="13" t="s">
        <v>23</v>
      </c>
      <c r="E58" s="13" t="s">
        <v>27</v>
      </c>
      <c r="F58" s="13" t="s">
        <v>147</v>
      </c>
      <c r="G58" s="12">
        <v>1</v>
      </c>
      <c r="H58" s="12">
        <v>1201</v>
      </c>
      <c r="I58" s="12">
        <v>1201</v>
      </c>
      <c r="J58" s="13" t="s">
        <v>21</v>
      </c>
    </row>
    <row r="59" ht="14.25" spans="1:10">
      <c r="A59" s="12">
        <v>1057</v>
      </c>
      <c r="B59" s="13" t="s">
        <v>148</v>
      </c>
      <c r="C59" s="14">
        <v>45811</v>
      </c>
      <c r="D59" s="13" t="s">
        <v>33</v>
      </c>
      <c r="E59" s="13" t="s">
        <v>89</v>
      </c>
      <c r="F59" s="13" t="s">
        <v>149</v>
      </c>
      <c r="G59" s="12">
        <v>2</v>
      </c>
      <c r="H59" s="12">
        <v>4977</v>
      </c>
      <c r="I59" s="12">
        <v>9954</v>
      </c>
      <c r="J59" s="13" t="s">
        <v>17</v>
      </c>
    </row>
    <row r="60" ht="14.25" spans="1:10">
      <c r="A60" s="12">
        <v>1058</v>
      </c>
      <c r="B60" s="13" t="s">
        <v>150</v>
      </c>
      <c r="C60" s="14">
        <v>45750</v>
      </c>
      <c r="D60" s="13" t="s">
        <v>11</v>
      </c>
      <c r="E60" s="13" t="s">
        <v>12</v>
      </c>
      <c r="F60" s="13" t="s">
        <v>151</v>
      </c>
      <c r="G60" s="12">
        <v>5</v>
      </c>
      <c r="H60" s="12">
        <v>203</v>
      </c>
      <c r="I60" s="12">
        <v>1015</v>
      </c>
      <c r="J60" s="13" t="s">
        <v>21</v>
      </c>
    </row>
    <row r="61" ht="14.25" spans="1:10">
      <c r="A61" s="12">
        <v>1059</v>
      </c>
      <c r="B61" s="13" t="s">
        <v>152</v>
      </c>
      <c r="C61" s="14">
        <v>45716</v>
      </c>
      <c r="D61" s="13" t="s">
        <v>11</v>
      </c>
      <c r="E61" s="13" t="s">
        <v>72</v>
      </c>
      <c r="F61" s="13" t="s">
        <v>153</v>
      </c>
      <c r="G61" s="12">
        <v>6</v>
      </c>
      <c r="H61" s="12">
        <v>4794</v>
      </c>
      <c r="I61" s="12">
        <v>28764</v>
      </c>
      <c r="J61" s="13" t="s">
        <v>21</v>
      </c>
    </row>
    <row r="62" ht="14.25" spans="1:10">
      <c r="A62" s="12">
        <v>1060</v>
      </c>
      <c r="B62" s="13" t="s">
        <v>154</v>
      </c>
      <c r="C62" s="14">
        <v>45766</v>
      </c>
      <c r="D62" s="13" t="s">
        <v>23</v>
      </c>
      <c r="E62" s="13" t="s">
        <v>37</v>
      </c>
      <c r="F62" s="13" t="s">
        <v>155</v>
      </c>
      <c r="G62" s="12">
        <v>1</v>
      </c>
      <c r="H62" s="12">
        <v>390</v>
      </c>
      <c r="I62" s="12">
        <v>390</v>
      </c>
      <c r="J62" s="13" t="s">
        <v>17</v>
      </c>
    </row>
    <row r="63" ht="14.25" spans="1:10">
      <c r="A63" s="12">
        <v>1061</v>
      </c>
      <c r="B63" s="13" t="s">
        <v>156</v>
      </c>
      <c r="C63" s="14">
        <v>45778</v>
      </c>
      <c r="D63" s="13" t="s">
        <v>33</v>
      </c>
      <c r="E63" s="13" t="s">
        <v>34</v>
      </c>
      <c r="F63" s="13" t="s">
        <v>157</v>
      </c>
      <c r="G63" s="12">
        <v>9</v>
      </c>
      <c r="H63" s="12">
        <v>3153</v>
      </c>
      <c r="I63" s="12">
        <v>28377</v>
      </c>
      <c r="J63" s="13" t="s">
        <v>17</v>
      </c>
    </row>
    <row r="64" ht="14.25" spans="1:10">
      <c r="A64" s="12">
        <v>1062</v>
      </c>
      <c r="B64" s="13" t="s">
        <v>158</v>
      </c>
      <c r="C64" s="14">
        <v>45798</v>
      </c>
      <c r="D64" s="13" t="s">
        <v>11</v>
      </c>
      <c r="E64" s="13" t="s">
        <v>19</v>
      </c>
      <c r="F64" s="13" t="s">
        <v>159</v>
      </c>
      <c r="G64" s="12">
        <v>7</v>
      </c>
      <c r="H64" s="12">
        <v>3208</v>
      </c>
      <c r="I64" s="12">
        <v>22456</v>
      </c>
      <c r="J64" s="13" t="s">
        <v>21</v>
      </c>
    </row>
    <row r="65" ht="14.25" spans="1:10">
      <c r="A65" s="12">
        <v>1063</v>
      </c>
      <c r="B65" s="13" t="s">
        <v>160</v>
      </c>
      <c r="C65" s="14">
        <v>45820</v>
      </c>
      <c r="D65" s="13" t="s">
        <v>40</v>
      </c>
      <c r="E65" s="13" t="s">
        <v>122</v>
      </c>
      <c r="F65" s="13" t="s">
        <v>161</v>
      </c>
      <c r="G65" s="12">
        <v>1</v>
      </c>
      <c r="H65" s="12">
        <v>4327</v>
      </c>
      <c r="I65" s="12">
        <v>4327</v>
      </c>
      <c r="J65" s="13" t="s">
        <v>17</v>
      </c>
    </row>
    <row r="66" ht="14.25" spans="1:10">
      <c r="A66" s="12">
        <v>1064</v>
      </c>
      <c r="B66" s="13" t="s">
        <v>162</v>
      </c>
      <c r="C66" s="14">
        <v>45675</v>
      </c>
      <c r="D66" s="13" t="s">
        <v>40</v>
      </c>
      <c r="E66" s="13" t="s">
        <v>122</v>
      </c>
      <c r="F66" s="13" t="s">
        <v>163</v>
      </c>
      <c r="G66" s="12">
        <v>2</v>
      </c>
      <c r="H66" s="12">
        <v>3337</v>
      </c>
      <c r="I66" s="12">
        <v>6674</v>
      </c>
      <c r="J66" s="13" t="s">
        <v>29</v>
      </c>
    </row>
    <row r="67" ht="14.25" spans="1:10">
      <c r="A67" s="12">
        <v>1065</v>
      </c>
      <c r="B67" s="13" t="s">
        <v>164</v>
      </c>
      <c r="C67" s="14">
        <v>45736</v>
      </c>
      <c r="D67" s="13" t="s">
        <v>23</v>
      </c>
      <c r="E67" s="13" t="s">
        <v>50</v>
      </c>
      <c r="F67" s="13" t="s">
        <v>165</v>
      </c>
      <c r="G67" s="12">
        <v>6</v>
      </c>
      <c r="H67" s="12">
        <v>4216</v>
      </c>
      <c r="I67" s="12">
        <v>25296</v>
      </c>
      <c r="J67" s="13" t="s">
        <v>14</v>
      </c>
    </row>
    <row r="68" ht="14.25" spans="1:10">
      <c r="A68" s="12">
        <v>1066</v>
      </c>
      <c r="B68" s="13" t="s">
        <v>166</v>
      </c>
      <c r="C68" s="14">
        <v>45792</v>
      </c>
      <c r="D68" s="13" t="s">
        <v>11</v>
      </c>
      <c r="E68" s="13" t="s">
        <v>12</v>
      </c>
      <c r="F68" s="13" t="s">
        <v>167</v>
      </c>
      <c r="G68" s="12">
        <v>2</v>
      </c>
      <c r="H68" s="12">
        <v>4553</v>
      </c>
      <c r="I68" s="12">
        <v>9106</v>
      </c>
      <c r="J68" s="13" t="s">
        <v>17</v>
      </c>
    </row>
    <row r="69" ht="14.25" spans="1:10">
      <c r="A69" s="12">
        <v>1067</v>
      </c>
      <c r="B69" s="13" t="s">
        <v>168</v>
      </c>
      <c r="C69" s="14">
        <v>45738</v>
      </c>
      <c r="D69" s="13" t="s">
        <v>40</v>
      </c>
      <c r="E69" s="13" t="s">
        <v>47</v>
      </c>
      <c r="F69" s="13" t="s">
        <v>169</v>
      </c>
      <c r="G69" s="12">
        <v>8</v>
      </c>
      <c r="H69" s="12">
        <v>3649</v>
      </c>
      <c r="I69" s="12">
        <v>29192</v>
      </c>
      <c r="J69" s="13" t="s">
        <v>14</v>
      </c>
    </row>
    <row r="70" ht="14.25" spans="1:10">
      <c r="A70" s="12">
        <v>1068</v>
      </c>
      <c r="B70" s="13" t="s">
        <v>170</v>
      </c>
      <c r="C70" s="14">
        <v>45725</v>
      </c>
      <c r="D70" s="13" t="s">
        <v>23</v>
      </c>
      <c r="E70" s="13" t="s">
        <v>50</v>
      </c>
      <c r="F70" s="13" t="s">
        <v>171</v>
      </c>
      <c r="G70" s="12">
        <v>1</v>
      </c>
      <c r="H70" s="12">
        <v>2763</v>
      </c>
      <c r="I70" s="12">
        <v>2763</v>
      </c>
      <c r="J70" s="13" t="s">
        <v>17</v>
      </c>
    </row>
    <row r="71" ht="14.25" spans="1:10">
      <c r="A71" s="12">
        <v>1069</v>
      </c>
      <c r="B71" s="13" t="s">
        <v>172</v>
      </c>
      <c r="C71" s="14">
        <v>45815</v>
      </c>
      <c r="D71" s="13" t="s">
        <v>40</v>
      </c>
      <c r="E71" s="13" t="s">
        <v>41</v>
      </c>
      <c r="F71" s="13" t="s">
        <v>173</v>
      </c>
      <c r="G71" s="12">
        <v>9</v>
      </c>
      <c r="H71" s="12">
        <v>2320</v>
      </c>
      <c r="I71" s="12">
        <v>20880</v>
      </c>
      <c r="J71" s="13" t="s">
        <v>17</v>
      </c>
    </row>
    <row r="72" ht="14.25" spans="1:10">
      <c r="A72" s="12">
        <v>1070</v>
      </c>
      <c r="B72" s="13" t="s">
        <v>174</v>
      </c>
      <c r="C72" s="14">
        <v>45664</v>
      </c>
      <c r="D72" s="13" t="s">
        <v>23</v>
      </c>
      <c r="E72" s="13" t="s">
        <v>24</v>
      </c>
      <c r="F72" s="13" t="s">
        <v>175</v>
      </c>
      <c r="G72" s="12">
        <v>8</v>
      </c>
      <c r="H72" s="12">
        <v>4710</v>
      </c>
      <c r="I72" s="12">
        <v>37680</v>
      </c>
      <c r="J72" s="13" t="s">
        <v>14</v>
      </c>
    </row>
    <row r="73" ht="14.25" spans="1:10">
      <c r="A73" s="12">
        <v>1071</v>
      </c>
      <c r="B73" s="13" t="s">
        <v>176</v>
      </c>
      <c r="C73" s="14">
        <v>45745</v>
      </c>
      <c r="D73" s="13" t="s">
        <v>23</v>
      </c>
      <c r="E73" s="13" t="s">
        <v>27</v>
      </c>
      <c r="F73" s="13" t="s">
        <v>177</v>
      </c>
      <c r="G73" s="12">
        <v>4</v>
      </c>
      <c r="H73" s="12">
        <v>4448</v>
      </c>
      <c r="I73" s="12">
        <v>17792</v>
      </c>
      <c r="J73" s="13" t="s">
        <v>14</v>
      </c>
    </row>
    <row r="74" ht="14.25" spans="1:10">
      <c r="A74" s="12">
        <v>1072</v>
      </c>
      <c r="B74" s="13" t="s">
        <v>178</v>
      </c>
      <c r="C74" s="14">
        <v>45814</v>
      </c>
      <c r="D74" s="13" t="s">
        <v>23</v>
      </c>
      <c r="E74" s="13" t="s">
        <v>27</v>
      </c>
      <c r="F74" s="13" t="s">
        <v>179</v>
      </c>
      <c r="G74" s="12">
        <v>7</v>
      </c>
      <c r="H74" s="12">
        <v>2151</v>
      </c>
      <c r="I74" s="12">
        <v>15057</v>
      </c>
      <c r="J74" s="13" t="s">
        <v>17</v>
      </c>
    </row>
    <row r="75" ht="14.25" spans="1:10">
      <c r="A75" s="12">
        <v>1073</v>
      </c>
      <c r="B75" s="13" t="s">
        <v>180</v>
      </c>
      <c r="C75" s="14">
        <v>45656</v>
      </c>
      <c r="D75" s="13" t="s">
        <v>40</v>
      </c>
      <c r="E75" s="13" t="s">
        <v>92</v>
      </c>
      <c r="F75" s="13" t="s">
        <v>181</v>
      </c>
      <c r="G75" s="12">
        <v>2</v>
      </c>
      <c r="H75" s="12">
        <v>4663</v>
      </c>
      <c r="I75" s="12">
        <v>9326</v>
      </c>
      <c r="J75" s="13" t="s">
        <v>14</v>
      </c>
    </row>
    <row r="76" ht="14.25" spans="1:10">
      <c r="A76" s="12">
        <v>1074</v>
      </c>
      <c r="B76" s="13" t="s">
        <v>182</v>
      </c>
      <c r="C76" s="14">
        <v>45729</v>
      </c>
      <c r="D76" s="13" t="s">
        <v>40</v>
      </c>
      <c r="E76" s="13" t="s">
        <v>47</v>
      </c>
      <c r="F76" s="13" t="s">
        <v>183</v>
      </c>
      <c r="G76" s="12">
        <v>9</v>
      </c>
      <c r="H76" s="12">
        <v>2431</v>
      </c>
      <c r="I76" s="12">
        <v>21879</v>
      </c>
      <c r="J76" s="13" t="s">
        <v>14</v>
      </c>
    </row>
    <row r="77" ht="14.25" spans="1:10">
      <c r="A77" s="12">
        <v>1075</v>
      </c>
      <c r="B77" s="13" t="s">
        <v>184</v>
      </c>
      <c r="C77" s="14">
        <v>45703</v>
      </c>
      <c r="D77" s="13" t="s">
        <v>40</v>
      </c>
      <c r="E77" s="13" t="s">
        <v>47</v>
      </c>
      <c r="F77" s="13" t="s">
        <v>185</v>
      </c>
      <c r="G77" s="12">
        <v>4</v>
      </c>
      <c r="H77" s="12">
        <v>203</v>
      </c>
      <c r="I77" s="12">
        <v>812</v>
      </c>
      <c r="J77" s="13" t="s">
        <v>21</v>
      </c>
    </row>
    <row r="78" ht="14.25" spans="1:10">
      <c r="A78" s="12">
        <v>1076</v>
      </c>
      <c r="B78" s="13" t="s">
        <v>186</v>
      </c>
      <c r="C78" s="14">
        <v>45809</v>
      </c>
      <c r="D78" s="13" t="s">
        <v>40</v>
      </c>
      <c r="E78" s="13" t="s">
        <v>122</v>
      </c>
      <c r="F78" s="13" t="s">
        <v>187</v>
      </c>
      <c r="G78" s="12">
        <v>4</v>
      </c>
      <c r="H78" s="12">
        <v>1188</v>
      </c>
      <c r="I78" s="12">
        <v>4752</v>
      </c>
      <c r="J78" s="13" t="s">
        <v>14</v>
      </c>
    </row>
    <row r="79" ht="14.25" spans="1:10">
      <c r="A79" s="12">
        <v>1077</v>
      </c>
      <c r="B79" s="13" t="s">
        <v>188</v>
      </c>
      <c r="C79" s="14">
        <v>45827</v>
      </c>
      <c r="D79" s="13" t="s">
        <v>23</v>
      </c>
      <c r="E79" s="13" t="s">
        <v>37</v>
      </c>
      <c r="F79" s="13" t="s">
        <v>189</v>
      </c>
      <c r="G79" s="12">
        <v>9</v>
      </c>
      <c r="H79" s="12">
        <v>263</v>
      </c>
      <c r="I79" s="12">
        <v>2367</v>
      </c>
      <c r="J79" s="13" t="s">
        <v>21</v>
      </c>
    </row>
    <row r="80" ht="14.25" spans="1:10">
      <c r="A80" s="12">
        <v>1078</v>
      </c>
      <c r="B80" s="13" t="s">
        <v>190</v>
      </c>
      <c r="C80" s="14">
        <v>45677</v>
      </c>
      <c r="D80" s="13" t="s">
        <v>33</v>
      </c>
      <c r="E80" s="13" t="s">
        <v>44</v>
      </c>
      <c r="F80" s="13" t="s">
        <v>191</v>
      </c>
      <c r="G80" s="12">
        <v>4</v>
      </c>
      <c r="H80" s="12">
        <v>247</v>
      </c>
      <c r="I80" s="12">
        <v>988</v>
      </c>
      <c r="J80" s="13" t="s">
        <v>14</v>
      </c>
    </row>
    <row r="81" ht="14.25" spans="1:10">
      <c r="A81" s="12">
        <v>1079</v>
      </c>
      <c r="B81" s="13" t="s">
        <v>192</v>
      </c>
      <c r="C81" s="14">
        <v>45759</v>
      </c>
      <c r="D81" s="13" t="s">
        <v>11</v>
      </c>
      <c r="E81" s="13" t="s">
        <v>119</v>
      </c>
      <c r="F81" s="13" t="s">
        <v>193</v>
      </c>
      <c r="G81" s="12">
        <v>5</v>
      </c>
      <c r="H81" s="12">
        <v>549</v>
      </c>
      <c r="I81" s="12">
        <v>2745</v>
      </c>
      <c r="J81" s="13" t="s">
        <v>14</v>
      </c>
    </row>
    <row r="82" ht="14.25" spans="1:10">
      <c r="A82" s="12">
        <v>1080</v>
      </c>
      <c r="B82" s="13" t="s">
        <v>194</v>
      </c>
      <c r="C82" s="14">
        <v>45705</v>
      </c>
      <c r="D82" s="13" t="s">
        <v>40</v>
      </c>
      <c r="E82" s="13" t="s">
        <v>92</v>
      </c>
      <c r="F82" s="13" t="s">
        <v>195</v>
      </c>
      <c r="G82" s="12">
        <v>2</v>
      </c>
      <c r="H82" s="12">
        <v>972</v>
      </c>
      <c r="I82" s="12">
        <v>1944</v>
      </c>
      <c r="J82" s="13" t="s">
        <v>29</v>
      </c>
    </row>
    <row r="83" ht="14.25" spans="1:10">
      <c r="A83" s="12">
        <v>1081</v>
      </c>
      <c r="B83" s="13" t="s">
        <v>196</v>
      </c>
      <c r="C83" s="14">
        <v>45727</v>
      </c>
      <c r="D83" s="13" t="s">
        <v>23</v>
      </c>
      <c r="E83" s="13" t="s">
        <v>24</v>
      </c>
      <c r="F83" s="13" t="s">
        <v>197</v>
      </c>
      <c r="G83" s="12">
        <v>3</v>
      </c>
      <c r="H83" s="12">
        <v>990</v>
      </c>
      <c r="I83" s="12">
        <v>2970</v>
      </c>
      <c r="J83" s="13" t="s">
        <v>29</v>
      </c>
    </row>
    <row r="84" ht="14.25" spans="1:10">
      <c r="A84" s="12">
        <v>1082</v>
      </c>
      <c r="B84" s="13" t="s">
        <v>198</v>
      </c>
      <c r="C84" s="14">
        <v>45783</v>
      </c>
      <c r="D84" s="13" t="s">
        <v>11</v>
      </c>
      <c r="E84" s="13" t="s">
        <v>119</v>
      </c>
      <c r="F84" s="13" t="s">
        <v>199</v>
      </c>
      <c r="G84" s="12">
        <v>7</v>
      </c>
      <c r="H84" s="12">
        <v>3486</v>
      </c>
      <c r="I84" s="12">
        <v>24402</v>
      </c>
      <c r="J84" s="13" t="s">
        <v>14</v>
      </c>
    </row>
    <row r="85" ht="14.25" spans="1:10">
      <c r="A85" s="12">
        <v>1083</v>
      </c>
      <c r="B85" s="13" t="s">
        <v>200</v>
      </c>
      <c r="C85" s="14">
        <v>45693</v>
      </c>
      <c r="D85" s="13" t="s">
        <v>23</v>
      </c>
      <c r="E85" s="13" t="s">
        <v>50</v>
      </c>
      <c r="F85" s="13" t="s">
        <v>201</v>
      </c>
      <c r="G85" s="12">
        <v>3</v>
      </c>
      <c r="H85" s="12">
        <v>1533</v>
      </c>
      <c r="I85" s="12">
        <v>4599</v>
      </c>
      <c r="J85" s="13" t="s">
        <v>17</v>
      </c>
    </row>
    <row r="86" ht="14.25" spans="1:10">
      <c r="A86" s="12">
        <v>1084</v>
      </c>
      <c r="B86" s="13" t="s">
        <v>202</v>
      </c>
      <c r="C86" s="14">
        <v>45756</v>
      </c>
      <c r="D86" s="13" t="s">
        <v>23</v>
      </c>
      <c r="E86" s="13" t="s">
        <v>27</v>
      </c>
      <c r="F86" s="13" t="s">
        <v>203</v>
      </c>
      <c r="G86" s="12">
        <v>9</v>
      </c>
      <c r="H86" s="12">
        <v>870</v>
      </c>
      <c r="I86" s="12">
        <v>7830</v>
      </c>
      <c r="J86" s="13" t="s">
        <v>17</v>
      </c>
    </row>
    <row r="87" ht="14.25" spans="1:10">
      <c r="A87" s="12">
        <v>1085</v>
      </c>
      <c r="B87" s="13" t="s">
        <v>204</v>
      </c>
      <c r="C87" s="14">
        <v>45703</v>
      </c>
      <c r="D87" s="13" t="s">
        <v>23</v>
      </c>
      <c r="E87" s="13" t="s">
        <v>27</v>
      </c>
      <c r="F87" s="13" t="s">
        <v>205</v>
      </c>
      <c r="G87" s="12">
        <v>9</v>
      </c>
      <c r="H87" s="12">
        <v>2067</v>
      </c>
      <c r="I87" s="12">
        <v>18603</v>
      </c>
      <c r="J87" s="13" t="s">
        <v>21</v>
      </c>
    </row>
    <row r="88" ht="14.25" spans="1:10">
      <c r="A88" s="12">
        <v>1086</v>
      </c>
      <c r="B88" s="13" t="s">
        <v>206</v>
      </c>
      <c r="C88" s="14">
        <v>45789</v>
      </c>
      <c r="D88" s="13" t="s">
        <v>40</v>
      </c>
      <c r="E88" s="13" t="s">
        <v>92</v>
      </c>
      <c r="F88" s="13" t="s">
        <v>207</v>
      </c>
      <c r="G88" s="12">
        <v>1</v>
      </c>
      <c r="H88" s="12">
        <v>949</v>
      </c>
      <c r="I88" s="12">
        <v>949</v>
      </c>
      <c r="J88" s="13" t="s">
        <v>29</v>
      </c>
    </row>
    <row r="89" ht="14.25" spans="1:10">
      <c r="A89" s="12">
        <v>1087</v>
      </c>
      <c r="B89" s="13" t="s">
        <v>208</v>
      </c>
      <c r="C89" s="14">
        <v>45721</v>
      </c>
      <c r="D89" s="13" t="s">
        <v>40</v>
      </c>
      <c r="E89" s="13" t="s">
        <v>41</v>
      </c>
      <c r="F89" s="13" t="s">
        <v>209</v>
      </c>
      <c r="G89" s="12">
        <v>6</v>
      </c>
      <c r="H89" s="12">
        <v>1432</v>
      </c>
      <c r="I89" s="12">
        <v>8592</v>
      </c>
      <c r="J89" s="13" t="s">
        <v>14</v>
      </c>
    </row>
    <row r="90" ht="14.25" spans="1:10">
      <c r="A90" s="12">
        <v>1088</v>
      </c>
      <c r="B90" s="13" t="s">
        <v>210</v>
      </c>
      <c r="C90" s="14">
        <v>45690</v>
      </c>
      <c r="D90" s="13" t="s">
        <v>23</v>
      </c>
      <c r="E90" s="13" t="s">
        <v>27</v>
      </c>
      <c r="F90" s="13" t="s">
        <v>211</v>
      </c>
      <c r="G90" s="12">
        <v>4</v>
      </c>
      <c r="H90" s="12">
        <v>2396</v>
      </c>
      <c r="I90" s="12">
        <v>9584</v>
      </c>
      <c r="J90" s="13" t="s">
        <v>17</v>
      </c>
    </row>
    <row r="91" ht="14.25" spans="1:10">
      <c r="A91" s="12">
        <v>1089</v>
      </c>
      <c r="B91" s="13" t="s">
        <v>212</v>
      </c>
      <c r="C91" s="14">
        <v>45709</v>
      </c>
      <c r="D91" s="13" t="s">
        <v>40</v>
      </c>
      <c r="E91" s="13" t="s">
        <v>122</v>
      </c>
      <c r="F91" s="13" t="s">
        <v>213</v>
      </c>
      <c r="G91" s="12">
        <v>4</v>
      </c>
      <c r="H91" s="12">
        <v>3040</v>
      </c>
      <c r="I91" s="12">
        <v>12160</v>
      </c>
      <c r="J91" s="13" t="s">
        <v>29</v>
      </c>
    </row>
    <row r="92" ht="14.25" spans="1:10">
      <c r="A92" s="12">
        <v>1090</v>
      </c>
      <c r="B92" s="13" t="s">
        <v>214</v>
      </c>
      <c r="C92" s="14">
        <v>45752</v>
      </c>
      <c r="D92" s="13" t="s">
        <v>40</v>
      </c>
      <c r="E92" s="13" t="s">
        <v>47</v>
      </c>
      <c r="F92" s="13" t="s">
        <v>215</v>
      </c>
      <c r="G92" s="12">
        <v>1</v>
      </c>
      <c r="H92" s="12">
        <v>4298</v>
      </c>
      <c r="I92" s="12">
        <v>4298</v>
      </c>
      <c r="J92" s="13" t="s">
        <v>21</v>
      </c>
    </row>
    <row r="93" ht="14.25" spans="1:10">
      <c r="A93" s="12">
        <v>1091</v>
      </c>
      <c r="B93" s="13" t="s">
        <v>216</v>
      </c>
      <c r="C93" s="14">
        <v>45670</v>
      </c>
      <c r="D93" s="13" t="s">
        <v>23</v>
      </c>
      <c r="E93" s="13" t="s">
        <v>50</v>
      </c>
      <c r="F93" s="13" t="s">
        <v>217</v>
      </c>
      <c r="G93" s="12">
        <v>4</v>
      </c>
      <c r="H93" s="12">
        <v>3773</v>
      </c>
      <c r="I93" s="12">
        <v>15092</v>
      </c>
      <c r="J93" s="13" t="s">
        <v>21</v>
      </c>
    </row>
    <row r="94" ht="14.25" spans="1:10">
      <c r="A94" s="12">
        <v>1092</v>
      </c>
      <c r="B94" s="13" t="s">
        <v>218</v>
      </c>
      <c r="C94" s="14">
        <v>45824</v>
      </c>
      <c r="D94" s="13" t="s">
        <v>11</v>
      </c>
      <c r="E94" s="13" t="s">
        <v>19</v>
      </c>
      <c r="F94" s="13" t="s">
        <v>219</v>
      </c>
      <c r="G94" s="12">
        <v>8</v>
      </c>
      <c r="H94" s="12">
        <v>2664</v>
      </c>
      <c r="I94" s="12">
        <v>21312</v>
      </c>
      <c r="J94" s="13" t="s">
        <v>17</v>
      </c>
    </row>
    <row r="95" ht="14.25" spans="1:10">
      <c r="A95" s="12">
        <v>1093</v>
      </c>
      <c r="B95" s="13" t="s">
        <v>220</v>
      </c>
      <c r="C95" s="14">
        <v>45691</v>
      </c>
      <c r="D95" s="13" t="s">
        <v>33</v>
      </c>
      <c r="E95" s="13" t="s">
        <v>34</v>
      </c>
      <c r="F95" s="13" t="s">
        <v>221</v>
      </c>
      <c r="G95" s="12">
        <v>6</v>
      </c>
      <c r="H95" s="12">
        <v>4479</v>
      </c>
      <c r="I95" s="12">
        <v>26874</v>
      </c>
      <c r="J95" s="13" t="s">
        <v>14</v>
      </c>
    </row>
    <row r="96" ht="14.25" spans="1:10">
      <c r="A96" s="12">
        <v>1094</v>
      </c>
      <c r="B96" s="13" t="s">
        <v>222</v>
      </c>
      <c r="C96" s="14">
        <v>45809</v>
      </c>
      <c r="D96" s="13" t="s">
        <v>40</v>
      </c>
      <c r="E96" s="13" t="s">
        <v>122</v>
      </c>
      <c r="F96" s="13" t="s">
        <v>223</v>
      </c>
      <c r="G96" s="12">
        <v>6</v>
      </c>
      <c r="H96" s="12">
        <v>3230</v>
      </c>
      <c r="I96" s="12">
        <v>19380</v>
      </c>
      <c r="J96" s="13" t="s">
        <v>14</v>
      </c>
    </row>
    <row r="97" ht="14.25" spans="1:10">
      <c r="A97" s="12">
        <v>1095</v>
      </c>
      <c r="B97" s="13" t="s">
        <v>224</v>
      </c>
      <c r="C97" s="14">
        <v>45776</v>
      </c>
      <c r="D97" s="13" t="s">
        <v>33</v>
      </c>
      <c r="E97" s="13" t="s">
        <v>34</v>
      </c>
      <c r="F97" s="13" t="s">
        <v>225</v>
      </c>
      <c r="G97" s="12">
        <v>3</v>
      </c>
      <c r="H97" s="12">
        <v>4005</v>
      </c>
      <c r="I97" s="12">
        <v>12015</v>
      </c>
      <c r="J97" s="13" t="s">
        <v>29</v>
      </c>
    </row>
    <row r="98" ht="14.25" spans="1:10">
      <c r="A98" s="12">
        <v>1096</v>
      </c>
      <c r="B98" s="13" t="s">
        <v>226</v>
      </c>
      <c r="C98" s="14">
        <v>45766</v>
      </c>
      <c r="D98" s="13" t="s">
        <v>40</v>
      </c>
      <c r="E98" s="13" t="s">
        <v>122</v>
      </c>
      <c r="F98" s="13" t="s">
        <v>227</v>
      </c>
      <c r="G98" s="12">
        <v>7</v>
      </c>
      <c r="H98" s="12">
        <v>3698</v>
      </c>
      <c r="I98" s="12">
        <v>25886</v>
      </c>
      <c r="J98" s="13" t="s">
        <v>21</v>
      </c>
    </row>
    <row r="99" ht="14.25" spans="1:10">
      <c r="A99" s="12">
        <v>1097</v>
      </c>
      <c r="B99" s="13" t="s">
        <v>228</v>
      </c>
      <c r="C99" s="14">
        <v>45777</v>
      </c>
      <c r="D99" s="13" t="s">
        <v>40</v>
      </c>
      <c r="E99" s="13" t="s">
        <v>92</v>
      </c>
      <c r="F99" s="13" t="s">
        <v>229</v>
      </c>
      <c r="G99" s="12">
        <v>2</v>
      </c>
      <c r="H99" s="12">
        <v>643</v>
      </c>
      <c r="I99" s="12">
        <v>1286</v>
      </c>
      <c r="J99" s="13" t="s">
        <v>29</v>
      </c>
    </row>
    <row r="100" ht="14.25" spans="1:10">
      <c r="A100" s="12">
        <v>1098</v>
      </c>
      <c r="B100" s="13" t="s">
        <v>230</v>
      </c>
      <c r="C100" s="14">
        <v>45816</v>
      </c>
      <c r="D100" s="13" t="s">
        <v>33</v>
      </c>
      <c r="E100" s="13" t="s">
        <v>89</v>
      </c>
      <c r="F100" s="13" t="s">
        <v>231</v>
      </c>
      <c r="G100" s="12">
        <v>3</v>
      </c>
      <c r="H100" s="12">
        <v>1830</v>
      </c>
      <c r="I100" s="12">
        <v>5490</v>
      </c>
      <c r="J100" s="13" t="s">
        <v>21</v>
      </c>
    </row>
    <row r="101" ht="14.25" spans="1:10">
      <c r="A101" s="12">
        <v>1099</v>
      </c>
      <c r="B101" s="13" t="s">
        <v>232</v>
      </c>
      <c r="C101" s="14">
        <v>45768</v>
      </c>
      <c r="D101" s="13" t="s">
        <v>11</v>
      </c>
      <c r="E101" s="13" t="s">
        <v>12</v>
      </c>
      <c r="F101" s="13" t="s">
        <v>233</v>
      </c>
      <c r="G101" s="12">
        <v>5</v>
      </c>
      <c r="H101" s="12">
        <v>4419</v>
      </c>
      <c r="I101" s="12">
        <v>22095</v>
      </c>
      <c r="J101" s="13" t="s">
        <v>17</v>
      </c>
    </row>
    <row r="102" ht="14.25" spans="1:10">
      <c r="A102" s="12">
        <v>1100</v>
      </c>
      <c r="B102" s="13" t="s">
        <v>234</v>
      </c>
      <c r="C102" s="14">
        <v>45802</v>
      </c>
      <c r="D102" s="13" t="s">
        <v>40</v>
      </c>
      <c r="E102" s="13" t="s">
        <v>92</v>
      </c>
      <c r="F102" s="13" t="s">
        <v>235</v>
      </c>
      <c r="G102" s="12">
        <v>2</v>
      </c>
      <c r="H102" s="12">
        <v>442</v>
      </c>
      <c r="I102" s="12">
        <v>884</v>
      </c>
      <c r="J102" s="13" t="s">
        <v>17</v>
      </c>
    </row>
    <row r="103" ht="14.25" spans="1:10">
      <c r="A103" s="12">
        <v>1101</v>
      </c>
      <c r="B103" s="13" t="s">
        <v>236</v>
      </c>
      <c r="C103" s="14">
        <v>45679</v>
      </c>
      <c r="D103" s="13" t="s">
        <v>40</v>
      </c>
      <c r="E103" s="13" t="s">
        <v>122</v>
      </c>
      <c r="F103" s="13" t="s">
        <v>237</v>
      </c>
      <c r="G103" s="12">
        <v>1</v>
      </c>
      <c r="H103" s="12">
        <v>629</v>
      </c>
      <c r="I103" s="12">
        <v>629</v>
      </c>
      <c r="J103" s="13" t="s">
        <v>29</v>
      </c>
    </row>
    <row r="104" ht="14.25" spans="1:10">
      <c r="A104" s="12">
        <v>1102</v>
      </c>
      <c r="B104" s="13" t="s">
        <v>238</v>
      </c>
      <c r="C104" s="14">
        <v>45813</v>
      </c>
      <c r="D104" s="13" t="s">
        <v>11</v>
      </c>
      <c r="E104" s="13" t="s">
        <v>72</v>
      </c>
      <c r="F104" s="13" t="s">
        <v>239</v>
      </c>
      <c r="G104" s="12">
        <v>4</v>
      </c>
      <c r="H104" s="12">
        <v>1864</v>
      </c>
      <c r="I104" s="12">
        <v>7456</v>
      </c>
      <c r="J104" s="13" t="s">
        <v>21</v>
      </c>
    </row>
    <row r="105" ht="14.25" spans="1:10">
      <c r="A105" s="12">
        <v>1103</v>
      </c>
      <c r="B105" s="13" t="s">
        <v>240</v>
      </c>
      <c r="C105" s="14">
        <v>45789</v>
      </c>
      <c r="D105" s="13" t="s">
        <v>40</v>
      </c>
      <c r="E105" s="13" t="s">
        <v>122</v>
      </c>
      <c r="F105" s="13" t="s">
        <v>241</v>
      </c>
      <c r="G105" s="12">
        <v>4</v>
      </c>
      <c r="H105" s="12">
        <v>2895</v>
      </c>
      <c r="I105" s="12">
        <v>11580</v>
      </c>
      <c r="J105" s="13" t="s">
        <v>17</v>
      </c>
    </row>
    <row r="106" ht="14.25" spans="1:10">
      <c r="A106" s="12">
        <v>1104</v>
      </c>
      <c r="B106" s="13" t="s">
        <v>242</v>
      </c>
      <c r="C106" s="14">
        <v>45808</v>
      </c>
      <c r="D106" s="13" t="s">
        <v>40</v>
      </c>
      <c r="E106" s="13" t="s">
        <v>92</v>
      </c>
      <c r="F106" s="13" t="s">
        <v>243</v>
      </c>
      <c r="G106" s="12">
        <v>5</v>
      </c>
      <c r="H106" s="12">
        <v>3585</v>
      </c>
      <c r="I106" s="12">
        <v>17925</v>
      </c>
      <c r="J106" s="13" t="s">
        <v>29</v>
      </c>
    </row>
    <row r="107" ht="14.25" spans="1:10">
      <c r="A107" s="12">
        <v>1105</v>
      </c>
      <c r="B107" s="13" t="s">
        <v>244</v>
      </c>
      <c r="C107" s="14">
        <v>45814</v>
      </c>
      <c r="D107" s="13" t="s">
        <v>33</v>
      </c>
      <c r="E107" s="13" t="s">
        <v>53</v>
      </c>
      <c r="F107" s="13" t="s">
        <v>245</v>
      </c>
      <c r="G107" s="12">
        <v>10</v>
      </c>
      <c r="H107" s="12">
        <v>97</v>
      </c>
      <c r="I107" s="12">
        <v>970</v>
      </c>
      <c r="J107" s="13" t="s">
        <v>14</v>
      </c>
    </row>
    <row r="108" ht="14.25" spans="1:10">
      <c r="A108" s="12">
        <v>1106</v>
      </c>
      <c r="B108" s="13" t="s">
        <v>246</v>
      </c>
      <c r="C108" s="14">
        <v>45747</v>
      </c>
      <c r="D108" s="13" t="s">
        <v>23</v>
      </c>
      <c r="E108" s="13" t="s">
        <v>24</v>
      </c>
      <c r="F108" s="13" t="s">
        <v>247</v>
      </c>
      <c r="G108" s="12">
        <v>3</v>
      </c>
      <c r="H108" s="12">
        <v>4569</v>
      </c>
      <c r="I108" s="12">
        <v>13707</v>
      </c>
      <c r="J108" s="13" t="s">
        <v>29</v>
      </c>
    </row>
    <row r="109" ht="14.25" spans="1:10">
      <c r="A109" s="12">
        <v>1107</v>
      </c>
      <c r="B109" s="13" t="s">
        <v>248</v>
      </c>
      <c r="C109" s="14">
        <v>45674</v>
      </c>
      <c r="D109" s="13" t="s">
        <v>23</v>
      </c>
      <c r="E109" s="13" t="s">
        <v>37</v>
      </c>
      <c r="F109" s="13" t="s">
        <v>249</v>
      </c>
      <c r="G109" s="12">
        <v>1</v>
      </c>
      <c r="H109" s="12">
        <v>4643</v>
      </c>
      <c r="I109" s="12">
        <v>4643</v>
      </c>
      <c r="J109" s="13" t="s">
        <v>29</v>
      </c>
    </row>
    <row r="110" ht="14.25" spans="1:10">
      <c r="A110" s="12">
        <v>1108</v>
      </c>
      <c r="B110" s="13" t="s">
        <v>250</v>
      </c>
      <c r="C110" s="14">
        <v>45761</v>
      </c>
      <c r="D110" s="13" t="s">
        <v>33</v>
      </c>
      <c r="E110" s="13" t="s">
        <v>44</v>
      </c>
      <c r="F110" s="13" t="s">
        <v>251</v>
      </c>
      <c r="G110" s="12">
        <v>1</v>
      </c>
      <c r="H110" s="12">
        <v>243</v>
      </c>
      <c r="I110" s="12">
        <v>243</v>
      </c>
      <c r="J110" s="13" t="s">
        <v>21</v>
      </c>
    </row>
    <row r="111" ht="14.25" spans="1:10">
      <c r="A111" s="12">
        <v>1109</v>
      </c>
      <c r="B111" s="13" t="s">
        <v>252</v>
      </c>
      <c r="C111" s="14">
        <v>45785</v>
      </c>
      <c r="D111" s="13" t="s">
        <v>33</v>
      </c>
      <c r="E111" s="13" t="s">
        <v>53</v>
      </c>
      <c r="F111" s="13" t="s">
        <v>253</v>
      </c>
      <c r="G111" s="12">
        <v>3</v>
      </c>
      <c r="H111" s="12">
        <v>3121</v>
      </c>
      <c r="I111" s="12">
        <v>9363</v>
      </c>
      <c r="J111" s="13" t="s">
        <v>21</v>
      </c>
    </row>
    <row r="112" ht="14.25" spans="1:10">
      <c r="A112" s="12">
        <v>1110</v>
      </c>
      <c r="B112" s="13" t="s">
        <v>254</v>
      </c>
      <c r="C112" s="14">
        <v>45761</v>
      </c>
      <c r="D112" s="13" t="s">
        <v>40</v>
      </c>
      <c r="E112" s="13" t="s">
        <v>41</v>
      </c>
      <c r="F112" s="13" t="s">
        <v>255</v>
      </c>
      <c r="G112" s="12">
        <v>8</v>
      </c>
      <c r="H112" s="12">
        <v>3426</v>
      </c>
      <c r="I112" s="12">
        <v>27408</v>
      </c>
      <c r="J112" s="13" t="s">
        <v>17</v>
      </c>
    </row>
    <row r="113" ht="14.25" spans="1:10">
      <c r="A113" s="12">
        <v>1111</v>
      </c>
      <c r="B113" s="13" t="s">
        <v>256</v>
      </c>
      <c r="C113" s="14">
        <v>45694</v>
      </c>
      <c r="D113" s="13" t="s">
        <v>11</v>
      </c>
      <c r="E113" s="13" t="s">
        <v>19</v>
      </c>
      <c r="F113" s="13" t="s">
        <v>257</v>
      </c>
      <c r="G113" s="12">
        <v>9</v>
      </c>
      <c r="H113" s="12">
        <v>2149</v>
      </c>
      <c r="I113" s="12">
        <v>19341</v>
      </c>
      <c r="J113" s="13" t="s">
        <v>14</v>
      </c>
    </row>
    <row r="114" ht="14.25" spans="1:10">
      <c r="A114" s="12">
        <v>1112</v>
      </c>
      <c r="B114" s="13" t="s">
        <v>258</v>
      </c>
      <c r="C114" s="14">
        <v>45777</v>
      </c>
      <c r="D114" s="13" t="s">
        <v>11</v>
      </c>
      <c r="E114" s="13" t="s">
        <v>72</v>
      </c>
      <c r="F114" s="13" t="s">
        <v>259</v>
      </c>
      <c r="G114" s="12">
        <v>3</v>
      </c>
      <c r="H114" s="12">
        <v>1417</v>
      </c>
      <c r="I114" s="12">
        <v>4251</v>
      </c>
      <c r="J114" s="13" t="s">
        <v>17</v>
      </c>
    </row>
    <row r="115" ht="14.25" spans="1:10">
      <c r="A115" s="12">
        <v>1113</v>
      </c>
      <c r="B115" s="13" t="s">
        <v>260</v>
      </c>
      <c r="C115" s="14">
        <v>45702</v>
      </c>
      <c r="D115" s="13" t="s">
        <v>33</v>
      </c>
      <c r="E115" s="13" t="s">
        <v>89</v>
      </c>
      <c r="F115" s="13" t="s">
        <v>261</v>
      </c>
      <c r="G115" s="12">
        <v>9</v>
      </c>
      <c r="H115" s="12">
        <v>2418</v>
      </c>
      <c r="I115" s="12">
        <v>21762</v>
      </c>
      <c r="J115" s="13" t="s">
        <v>29</v>
      </c>
    </row>
    <row r="116" ht="14.25" spans="1:10">
      <c r="A116" s="12">
        <v>1114</v>
      </c>
      <c r="B116" s="13" t="s">
        <v>262</v>
      </c>
      <c r="C116" s="14">
        <v>45809</v>
      </c>
      <c r="D116" s="13" t="s">
        <v>33</v>
      </c>
      <c r="E116" s="13" t="s">
        <v>89</v>
      </c>
      <c r="F116" s="13" t="s">
        <v>263</v>
      </c>
      <c r="G116" s="12">
        <v>8</v>
      </c>
      <c r="H116" s="12">
        <v>4322</v>
      </c>
      <c r="I116" s="12">
        <v>34576</v>
      </c>
      <c r="J116" s="13" t="s">
        <v>14</v>
      </c>
    </row>
    <row r="117" ht="14.25" spans="1:10">
      <c r="A117" s="12">
        <v>1115</v>
      </c>
      <c r="B117" s="13" t="s">
        <v>264</v>
      </c>
      <c r="C117" s="14">
        <v>45650</v>
      </c>
      <c r="D117" s="13" t="s">
        <v>40</v>
      </c>
      <c r="E117" s="13" t="s">
        <v>122</v>
      </c>
      <c r="F117" s="13" t="s">
        <v>265</v>
      </c>
      <c r="G117" s="12">
        <v>9</v>
      </c>
      <c r="H117" s="12">
        <v>3236</v>
      </c>
      <c r="I117" s="12">
        <v>29124</v>
      </c>
      <c r="J117" s="13" t="s">
        <v>21</v>
      </c>
    </row>
    <row r="118" ht="14.25" spans="1:10">
      <c r="A118" s="12">
        <v>1116</v>
      </c>
      <c r="B118" s="13" t="s">
        <v>266</v>
      </c>
      <c r="C118" s="14">
        <v>45735</v>
      </c>
      <c r="D118" s="13" t="s">
        <v>23</v>
      </c>
      <c r="E118" s="13" t="s">
        <v>27</v>
      </c>
      <c r="F118" s="13" t="s">
        <v>267</v>
      </c>
      <c r="G118" s="12">
        <v>6</v>
      </c>
      <c r="H118" s="12">
        <v>3843</v>
      </c>
      <c r="I118" s="12">
        <v>23058</v>
      </c>
      <c r="J118" s="13" t="s">
        <v>21</v>
      </c>
    </row>
    <row r="119" ht="14.25" spans="1:10">
      <c r="A119" s="12">
        <v>1117</v>
      </c>
      <c r="B119" s="13" t="s">
        <v>268</v>
      </c>
      <c r="C119" s="14">
        <v>45667</v>
      </c>
      <c r="D119" s="13" t="s">
        <v>33</v>
      </c>
      <c r="E119" s="13" t="s">
        <v>89</v>
      </c>
      <c r="F119" s="13" t="s">
        <v>269</v>
      </c>
      <c r="G119" s="12">
        <v>9</v>
      </c>
      <c r="H119" s="12">
        <v>1568</v>
      </c>
      <c r="I119" s="12">
        <v>14112</v>
      </c>
      <c r="J119" s="13" t="s">
        <v>14</v>
      </c>
    </row>
    <row r="120" ht="14.25" spans="1:10">
      <c r="A120" s="12">
        <v>1118</v>
      </c>
      <c r="B120" s="13" t="s">
        <v>270</v>
      </c>
      <c r="C120" s="14">
        <v>45757</v>
      </c>
      <c r="D120" s="13" t="s">
        <v>40</v>
      </c>
      <c r="E120" s="13" t="s">
        <v>41</v>
      </c>
      <c r="F120" s="13" t="s">
        <v>271</v>
      </c>
      <c r="G120" s="12">
        <v>5</v>
      </c>
      <c r="H120" s="12">
        <v>2734</v>
      </c>
      <c r="I120" s="12">
        <v>13670</v>
      </c>
      <c r="J120" s="13" t="s">
        <v>21</v>
      </c>
    </row>
    <row r="121" ht="14.25" spans="1:10">
      <c r="A121" s="12">
        <v>1119</v>
      </c>
      <c r="B121" s="13" t="s">
        <v>272</v>
      </c>
      <c r="C121" s="14">
        <v>45758</v>
      </c>
      <c r="D121" s="13" t="s">
        <v>23</v>
      </c>
      <c r="E121" s="13" t="s">
        <v>37</v>
      </c>
      <c r="F121" s="13" t="s">
        <v>273</v>
      </c>
      <c r="G121" s="12">
        <v>3</v>
      </c>
      <c r="H121" s="12">
        <v>1556</v>
      </c>
      <c r="I121" s="12">
        <v>4668</v>
      </c>
      <c r="J121" s="13" t="s">
        <v>29</v>
      </c>
    </row>
    <row r="122" ht="14.25" spans="1:10">
      <c r="A122" s="12">
        <v>1120</v>
      </c>
      <c r="B122" s="13" t="s">
        <v>274</v>
      </c>
      <c r="C122" s="14">
        <v>45789</v>
      </c>
      <c r="D122" s="13" t="s">
        <v>23</v>
      </c>
      <c r="E122" s="13" t="s">
        <v>37</v>
      </c>
      <c r="F122" s="13" t="s">
        <v>275</v>
      </c>
      <c r="G122" s="12">
        <v>9</v>
      </c>
      <c r="H122" s="12">
        <v>4579</v>
      </c>
      <c r="I122" s="12">
        <v>41211</v>
      </c>
      <c r="J122" s="13" t="s">
        <v>17</v>
      </c>
    </row>
    <row r="123" ht="14.25" spans="1:10">
      <c r="A123" s="12">
        <v>1121</v>
      </c>
      <c r="B123" s="13" t="s">
        <v>276</v>
      </c>
      <c r="C123" s="14">
        <v>45691</v>
      </c>
      <c r="D123" s="13" t="s">
        <v>40</v>
      </c>
      <c r="E123" s="13" t="s">
        <v>122</v>
      </c>
      <c r="F123" s="13" t="s">
        <v>277</v>
      </c>
      <c r="G123" s="12">
        <v>2</v>
      </c>
      <c r="H123" s="12">
        <v>2398</v>
      </c>
      <c r="I123" s="12">
        <v>4796</v>
      </c>
      <c r="J123" s="13" t="s">
        <v>17</v>
      </c>
    </row>
    <row r="124" ht="14.25" spans="1:10">
      <c r="A124" s="12">
        <v>1122</v>
      </c>
      <c r="B124" s="13" t="s">
        <v>278</v>
      </c>
      <c r="C124" s="14">
        <v>45684</v>
      </c>
      <c r="D124" s="13" t="s">
        <v>33</v>
      </c>
      <c r="E124" s="13" t="s">
        <v>34</v>
      </c>
      <c r="F124" s="13" t="s">
        <v>279</v>
      </c>
      <c r="G124" s="12">
        <v>8</v>
      </c>
      <c r="H124" s="12">
        <v>3487</v>
      </c>
      <c r="I124" s="12">
        <v>27896</v>
      </c>
      <c r="J124" s="13" t="s">
        <v>17</v>
      </c>
    </row>
    <row r="125" ht="14.25" spans="1:10">
      <c r="A125" s="12">
        <v>1123</v>
      </c>
      <c r="B125" s="13" t="s">
        <v>280</v>
      </c>
      <c r="C125" s="14">
        <v>45765</v>
      </c>
      <c r="D125" s="13" t="s">
        <v>33</v>
      </c>
      <c r="E125" s="13" t="s">
        <v>44</v>
      </c>
      <c r="F125" s="13" t="s">
        <v>281</v>
      </c>
      <c r="G125" s="12">
        <v>2</v>
      </c>
      <c r="H125" s="12">
        <v>1473</v>
      </c>
      <c r="I125" s="12">
        <v>2946</v>
      </c>
      <c r="J125" s="13" t="s">
        <v>21</v>
      </c>
    </row>
    <row r="126" ht="14.25" spans="1:10">
      <c r="A126" s="12">
        <v>1124</v>
      </c>
      <c r="B126" s="13" t="s">
        <v>282</v>
      </c>
      <c r="C126" s="14">
        <v>45828</v>
      </c>
      <c r="D126" s="13" t="s">
        <v>40</v>
      </c>
      <c r="E126" s="13" t="s">
        <v>41</v>
      </c>
      <c r="F126" s="13" t="s">
        <v>283</v>
      </c>
      <c r="G126" s="12">
        <v>1</v>
      </c>
      <c r="H126" s="12">
        <v>545</v>
      </c>
      <c r="I126" s="12">
        <v>545</v>
      </c>
      <c r="J126" s="13" t="s">
        <v>17</v>
      </c>
    </row>
    <row r="127" ht="14.25" spans="1:10">
      <c r="A127" s="12">
        <v>1125</v>
      </c>
      <c r="B127" s="13" t="s">
        <v>284</v>
      </c>
      <c r="C127" s="14">
        <v>45791</v>
      </c>
      <c r="D127" s="13" t="s">
        <v>33</v>
      </c>
      <c r="E127" s="13" t="s">
        <v>44</v>
      </c>
      <c r="F127" s="13" t="s">
        <v>285</v>
      </c>
      <c r="G127" s="12">
        <v>10</v>
      </c>
      <c r="H127" s="12">
        <v>4794</v>
      </c>
      <c r="I127" s="12">
        <v>47940</v>
      </c>
      <c r="J127" s="13" t="s">
        <v>21</v>
      </c>
    </row>
    <row r="128" ht="14.25" spans="1:10">
      <c r="A128" s="12">
        <v>1126</v>
      </c>
      <c r="B128" s="13" t="s">
        <v>286</v>
      </c>
      <c r="C128" s="14">
        <v>45808</v>
      </c>
      <c r="D128" s="13" t="s">
        <v>40</v>
      </c>
      <c r="E128" s="13" t="s">
        <v>47</v>
      </c>
      <c r="F128" s="13" t="s">
        <v>287</v>
      </c>
      <c r="G128" s="12">
        <v>10</v>
      </c>
      <c r="H128" s="12">
        <v>2162</v>
      </c>
      <c r="I128" s="12">
        <v>21620</v>
      </c>
      <c r="J128" s="13" t="s">
        <v>17</v>
      </c>
    </row>
    <row r="129" ht="14.25" spans="1:10">
      <c r="A129" s="12">
        <v>1127</v>
      </c>
      <c r="B129" s="13" t="s">
        <v>288</v>
      </c>
      <c r="C129" s="14">
        <v>45791</v>
      </c>
      <c r="D129" s="13" t="s">
        <v>23</v>
      </c>
      <c r="E129" s="13" t="s">
        <v>37</v>
      </c>
      <c r="F129" s="13" t="s">
        <v>289</v>
      </c>
      <c r="G129" s="12">
        <v>1</v>
      </c>
      <c r="H129" s="12">
        <v>2834</v>
      </c>
      <c r="I129" s="12">
        <v>2834</v>
      </c>
      <c r="J129" s="13" t="s">
        <v>21</v>
      </c>
    </row>
    <row r="130" ht="14.25" spans="1:10">
      <c r="A130" s="12">
        <v>1128</v>
      </c>
      <c r="B130" s="13" t="s">
        <v>290</v>
      </c>
      <c r="C130" s="14">
        <v>45709</v>
      </c>
      <c r="D130" s="13" t="s">
        <v>11</v>
      </c>
      <c r="E130" s="13" t="s">
        <v>119</v>
      </c>
      <c r="F130" s="13" t="s">
        <v>291</v>
      </c>
      <c r="G130" s="12">
        <v>8</v>
      </c>
      <c r="H130" s="12">
        <v>2822</v>
      </c>
      <c r="I130" s="12">
        <v>22576</v>
      </c>
      <c r="J130" s="13" t="s">
        <v>17</v>
      </c>
    </row>
    <row r="131" ht="14.25" spans="1:10">
      <c r="A131" s="12">
        <v>1129</v>
      </c>
      <c r="B131" s="13" t="s">
        <v>292</v>
      </c>
      <c r="C131" s="14">
        <v>45658</v>
      </c>
      <c r="D131" s="13" t="s">
        <v>40</v>
      </c>
      <c r="E131" s="13" t="s">
        <v>41</v>
      </c>
      <c r="F131" s="13" t="s">
        <v>293</v>
      </c>
      <c r="G131" s="12">
        <v>1</v>
      </c>
      <c r="H131" s="12">
        <v>79</v>
      </c>
      <c r="I131" s="12">
        <v>79</v>
      </c>
      <c r="J131" s="13" t="s">
        <v>21</v>
      </c>
    </row>
    <row r="132" ht="14.25" spans="1:10">
      <c r="A132" s="12">
        <v>1130</v>
      </c>
      <c r="B132" s="13" t="s">
        <v>294</v>
      </c>
      <c r="C132" s="14">
        <v>45718</v>
      </c>
      <c r="D132" s="13" t="s">
        <v>23</v>
      </c>
      <c r="E132" s="13" t="s">
        <v>37</v>
      </c>
      <c r="F132" s="13" t="s">
        <v>295</v>
      </c>
      <c r="G132" s="12">
        <v>3</v>
      </c>
      <c r="H132" s="12">
        <v>3372</v>
      </c>
      <c r="I132" s="12">
        <v>10116</v>
      </c>
      <c r="J132" s="13" t="s">
        <v>21</v>
      </c>
    </row>
    <row r="133" ht="14.25" spans="1:10">
      <c r="A133" s="12">
        <v>1131</v>
      </c>
      <c r="B133" s="13" t="s">
        <v>296</v>
      </c>
      <c r="C133" s="14">
        <v>45677</v>
      </c>
      <c r="D133" s="13" t="s">
        <v>23</v>
      </c>
      <c r="E133" s="13" t="s">
        <v>27</v>
      </c>
      <c r="F133" s="13" t="s">
        <v>297</v>
      </c>
      <c r="G133" s="12">
        <v>6</v>
      </c>
      <c r="H133" s="12">
        <v>3063</v>
      </c>
      <c r="I133" s="12">
        <v>18378</v>
      </c>
      <c r="J133" s="13" t="s">
        <v>29</v>
      </c>
    </row>
    <row r="134" ht="14.25" spans="1:10">
      <c r="A134" s="12">
        <v>1132</v>
      </c>
      <c r="B134" s="13" t="s">
        <v>298</v>
      </c>
      <c r="C134" s="14">
        <v>45735</v>
      </c>
      <c r="D134" s="13" t="s">
        <v>11</v>
      </c>
      <c r="E134" s="13" t="s">
        <v>12</v>
      </c>
      <c r="F134" s="13" t="s">
        <v>299</v>
      </c>
      <c r="G134" s="12">
        <v>6</v>
      </c>
      <c r="H134" s="12">
        <v>515</v>
      </c>
      <c r="I134" s="12">
        <v>3090</v>
      </c>
      <c r="J134" s="13" t="s">
        <v>21</v>
      </c>
    </row>
    <row r="135" ht="14.25" spans="1:10">
      <c r="A135" s="12">
        <v>1133</v>
      </c>
      <c r="B135" s="13" t="s">
        <v>300</v>
      </c>
      <c r="C135" s="14">
        <v>45819</v>
      </c>
      <c r="D135" s="13" t="s">
        <v>33</v>
      </c>
      <c r="E135" s="13" t="s">
        <v>89</v>
      </c>
      <c r="F135" s="13" t="s">
        <v>301</v>
      </c>
      <c r="G135" s="12">
        <v>2</v>
      </c>
      <c r="H135" s="12">
        <v>2037</v>
      </c>
      <c r="I135" s="12">
        <v>4074</v>
      </c>
      <c r="J135" s="13" t="s">
        <v>29</v>
      </c>
    </row>
    <row r="136" ht="14.25" spans="1:10">
      <c r="A136" s="12">
        <v>1134</v>
      </c>
      <c r="B136" s="13" t="s">
        <v>302</v>
      </c>
      <c r="C136" s="14">
        <v>45674</v>
      </c>
      <c r="D136" s="13" t="s">
        <v>23</v>
      </c>
      <c r="E136" s="13" t="s">
        <v>27</v>
      </c>
      <c r="F136" s="13" t="s">
        <v>303</v>
      </c>
      <c r="G136" s="12">
        <v>7</v>
      </c>
      <c r="H136" s="12">
        <v>3981</v>
      </c>
      <c r="I136" s="12">
        <v>27867</v>
      </c>
      <c r="J136" s="13" t="s">
        <v>17</v>
      </c>
    </row>
    <row r="137" ht="14.25" spans="1:10">
      <c r="A137" s="12">
        <v>1135</v>
      </c>
      <c r="B137" s="13" t="s">
        <v>304</v>
      </c>
      <c r="C137" s="14">
        <v>45744</v>
      </c>
      <c r="D137" s="13" t="s">
        <v>23</v>
      </c>
      <c r="E137" s="13" t="s">
        <v>27</v>
      </c>
      <c r="F137" s="13" t="s">
        <v>305</v>
      </c>
      <c r="G137" s="12">
        <v>5</v>
      </c>
      <c r="H137" s="12">
        <v>1227</v>
      </c>
      <c r="I137" s="12">
        <v>6135</v>
      </c>
      <c r="J137" s="13" t="s">
        <v>17</v>
      </c>
    </row>
    <row r="138" ht="14.25" spans="1:10">
      <c r="A138" s="12">
        <v>1136</v>
      </c>
      <c r="B138" s="13" t="s">
        <v>306</v>
      </c>
      <c r="C138" s="14">
        <v>45732</v>
      </c>
      <c r="D138" s="13" t="s">
        <v>11</v>
      </c>
      <c r="E138" s="13" t="s">
        <v>72</v>
      </c>
      <c r="F138" s="13" t="s">
        <v>307</v>
      </c>
      <c r="G138" s="12">
        <v>7</v>
      </c>
      <c r="H138" s="12">
        <v>86</v>
      </c>
      <c r="I138" s="12">
        <v>602</v>
      </c>
      <c r="J138" s="13" t="s">
        <v>14</v>
      </c>
    </row>
    <row r="139" ht="14.25" spans="1:10">
      <c r="A139" s="12">
        <v>1137</v>
      </c>
      <c r="B139" s="13" t="s">
        <v>308</v>
      </c>
      <c r="C139" s="14">
        <v>45789</v>
      </c>
      <c r="D139" s="13" t="s">
        <v>23</v>
      </c>
      <c r="E139" s="13" t="s">
        <v>37</v>
      </c>
      <c r="F139" s="13" t="s">
        <v>309</v>
      </c>
      <c r="G139" s="12">
        <v>6</v>
      </c>
      <c r="H139" s="12">
        <v>3508</v>
      </c>
      <c r="I139" s="12">
        <v>21048</v>
      </c>
      <c r="J139" s="13" t="s">
        <v>17</v>
      </c>
    </row>
    <row r="140" ht="14.25" spans="1:10">
      <c r="A140" s="12">
        <v>1138</v>
      </c>
      <c r="B140" s="13" t="s">
        <v>310</v>
      </c>
      <c r="C140" s="14">
        <v>45786</v>
      </c>
      <c r="D140" s="13" t="s">
        <v>11</v>
      </c>
      <c r="E140" s="13" t="s">
        <v>72</v>
      </c>
      <c r="F140" s="13" t="s">
        <v>311</v>
      </c>
      <c r="G140" s="12">
        <v>10</v>
      </c>
      <c r="H140" s="12">
        <v>877</v>
      </c>
      <c r="I140" s="12">
        <v>8770</v>
      </c>
      <c r="J140" s="13" t="s">
        <v>17</v>
      </c>
    </row>
    <row r="141" ht="14.25" spans="1:10">
      <c r="A141" s="12">
        <v>1139</v>
      </c>
      <c r="B141" s="13" t="s">
        <v>312</v>
      </c>
      <c r="C141" s="14">
        <v>45702</v>
      </c>
      <c r="D141" s="13" t="s">
        <v>23</v>
      </c>
      <c r="E141" s="13" t="s">
        <v>50</v>
      </c>
      <c r="F141" s="13" t="s">
        <v>313</v>
      </c>
      <c r="G141" s="12">
        <v>1</v>
      </c>
      <c r="H141" s="12">
        <v>844</v>
      </c>
      <c r="I141" s="12">
        <v>844</v>
      </c>
      <c r="J141" s="13" t="s">
        <v>21</v>
      </c>
    </row>
    <row r="142" ht="14.25" spans="1:10">
      <c r="A142" s="12">
        <v>1140</v>
      </c>
      <c r="B142" s="13" t="s">
        <v>314</v>
      </c>
      <c r="C142" s="14">
        <v>45719</v>
      </c>
      <c r="D142" s="13" t="s">
        <v>33</v>
      </c>
      <c r="E142" s="13" t="s">
        <v>53</v>
      </c>
      <c r="F142" s="13" t="s">
        <v>315</v>
      </c>
      <c r="G142" s="12">
        <v>3</v>
      </c>
      <c r="H142" s="12">
        <v>3539</v>
      </c>
      <c r="I142" s="12">
        <v>10617</v>
      </c>
      <c r="J142" s="13" t="s">
        <v>14</v>
      </c>
    </row>
    <row r="143" ht="14.25" spans="1:10">
      <c r="A143" s="12">
        <v>1141</v>
      </c>
      <c r="B143" s="13" t="s">
        <v>316</v>
      </c>
      <c r="C143" s="14">
        <v>45667</v>
      </c>
      <c r="D143" s="13" t="s">
        <v>33</v>
      </c>
      <c r="E143" s="13" t="s">
        <v>44</v>
      </c>
      <c r="F143" s="13" t="s">
        <v>317</v>
      </c>
      <c r="G143" s="12">
        <v>1</v>
      </c>
      <c r="H143" s="12">
        <v>745</v>
      </c>
      <c r="I143" s="12">
        <v>745</v>
      </c>
      <c r="J143" s="13" t="s">
        <v>21</v>
      </c>
    </row>
    <row r="144" ht="14.25" spans="1:10">
      <c r="A144" s="12">
        <v>1142</v>
      </c>
      <c r="B144" s="13" t="s">
        <v>318</v>
      </c>
      <c r="C144" s="14">
        <v>45718</v>
      </c>
      <c r="D144" s="13" t="s">
        <v>23</v>
      </c>
      <c r="E144" s="13" t="s">
        <v>27</v>
      </c>
      <c r="F144" s="13" t="s">
        <v>319</v>
      </c>
      <c r="G144" s="12">
        <v>9</v>
      </c>
      <c r="H144" s="12">
        <v>2106</v>
      </c>
      <c r="I144" s="12">
        <v>18954</v>
      </c>
      <c r="J144" s="13" t="s">
        <v>14</v>
      </c>
    </row>
    <row r="145" ht="14.25" spans="1:10">
      <c r="A145" s="12">
        <v>1143</v>
      </c>
      <c r="B145" s="13" t="s">
        <v>320</v>
      </c>
      <c r="C145" s="14">
        <v>45830</v>
      </c>
      <c r="D145" s="13" t="s">
        <v>40</v>
      </c>
      <c r="E145" s="13" t="s">
        <v>47</v>
      </c>
      <c r="F145" s="13" t="s">
        <v>321</v>
      </c>
      <c r="G145" s="12">
        <v>7</v>
      </c>
      <c r="H145" s="12">
        <v>3488</v>
      </c>
      <c r="I145" s="12">
        <v>24416</v>
      </c>
      <c r="J145" s="13" t="s">
        <v>17</v>
      </c>
    </row>
    <row r="146" ht="14.25" spans="1:10">
      <c r="A146" s="12">
        <v>1144</v>
      </c>
      <c r="B146" s="13" t="s">
        <v>322</v>
      </c>
      <c r="C146" s="14">
        <v>45801</v>
      </c>
      <c r="D146" s="13" t="s">
        <v>40</v>
      </c>
      <c r="E146" s="13" t="s">
        <v>92</v>
      </c>
      <c r="F146" s="13" t="s">
        <v>323</v>
      </c>
      <c r="G146" s="12">
        <v>3</v>
      </c>
      <c r="H146" s="12">
        <v>297</v>
      </c>
      <c r="I146" s="12">
        <v>891</v>
      </c>
      <c r="J146" s="13" t="s">
        <v>14</v>
      </c>
    </row>
    <row r="147" ht="14.25" spans="1:10">
      <c r="A147" s="12">
        <v>1145</v>
      </c>
      <c r="B147" s="13" t="s">
        <v>324</v>
      </c>
      <c r="C147" s="14">
        <v>45817</v>
      </c>
      <c r="D147" s="13" t="s">
        <v>40</v>
      </c>
      <c r="E147" s="13" t="s">
        <v>47</v>
      </c>
      <c r="F147" s="13" t="s">
        <v>325</v>
      </c>
      <c r="G147" s="12">
        <v>7</v>
      </c>
      <c r="H147" s="12">
        <v>1831</v>
      </c>
      <c r="I147" s="12">
        <v>12817</v>
      </c>
      <c r="J147" s="13" t="s">
        <v>29</v>
      </c>
    </row>
    <row r="148" ht="14.25" spans="1:10">
      <c r="A148" s="12">
        <v>1146</v>
      </c>
      <c r="B148" s="13" t="s">
        <v>326</v>
      </c>
      <c r="C148" s="14">
        <v>45674</v>
      </c>
      <c r="D148" s="13" t="s">
        <v>33</v>
      </c>
      <c r="E148" s="13" t="s">
        <v>44</v>
      </c>
      <c r="F148" s="13" t="s">
        <v>327</v>
      </c>
      <c r="G148" s="12">
        <v>10</v>
      </c>
      <c r="H148" s="12">
        <v>1796</v>
      </c>
      <c r="I148" s="12">
        <v>17960</v>
      </c>
      <c r="J148" s="13" t="s">
        <v>17</v>
      </c>
    </row>
    <row r="149" ht="14.25" spans="1:10">
      <c r="A149" s="12">
        <v>1147</v>
      </c>
      <c r="B149" s="13" t="s">
        <v>328</v>
      </c>
      <c r="C149" s="14">
        <v>45731</v>
      </c>
      <c r="D149" s="13" t="s">
        <v>33</v>
      </c>
      <c r="E149" s="13" t="s">
        <v>89</v>
      </c>
      <c r="F149" s="13" t="s">
        <v>329</v>
      </c>
      <c r="G149" s="12">
        <v>9</v>
      </c>
      <c r="H149" s="12">
        <v>1503</v>
      </c>
      <c r="I149" s="12">
        <v>13527</v>
      </c>
      <c r="J149" s="13" t="s">
        <v>14</v>
      </c>
    </row>
    <row r="150" ht="14.25" spans="1:10">
      <c r="A150" s="12">
        <v>1148</v>
      </c>
      <c r="B150" s="13" t="s">
        <v>330</v>
      </c>
      <c r="C150" s="14">
        <v>45747</v>
      </c>
      <c r="D150" s="13" t="s">
        <v>23</v>
      </c>
      <c r="E150" s="13" t="s">
        <v>27</v>
      </c>
      <c r="F150" s="13" t="s">
        <v>331</v>
      </c>
      <c r="G150" s="12">
        <v>8</v>
      </c>
      <c r="H150" s="12">
        <v>2307</v>
      </c>
      <c r="I150" s="12">
        <v>18456</v>
      </c>
      <c r="J150" s="13" t="s">
        <v>17</v>
      </c>
    </row>
    <row r="151" ht="14.25" spans="1:10">
      <c r="A151" s="12">
        <v>1149</v>
      </c>
      <c r="B151" s="13" t="s">
        <v>332</v>
      </c>
      <c r="C151" s="14">
        <v>45692</v>
      </c>
      <c r="D151" s="13" t="s">
        <v>23</v>
      </c>
      <c r="E151" s="13" t="s">
        <v>37</v>
      </c>
      <c r="F151" s="13" t="s">
        <v>333</v>
      </c>
      <c r="G151" s="12">
        <v>8</v>
      </c>
      <c r="H151" s="12">
        <v>4519</v>
      </c>
      <c r="I151" s="12">
        <v>36152</v>
      </c>
      <c r="J151" s="13" t="s">
        <v>29</v>
      </c>
    </row>
    <row r="152" ht="14.25" spans="1:10">
      <c r="A152" s="12">
        <v>1150</v>
      </c>
      <c r="B152" s="13" t="s">
        <v>334</v>
      </c>
      <c r="C152" s="14">
        <v>45744</v>
      </c>
      <c r="D152" s="13" t="s">
        <v>40</v>
      </c>
      <c r="E152" s="13" t="s">
        <v>92</v>
      </c>
      <c r="F152" s="13" t="s">
        <v>335</v>
      </c>
      <c r="G152" s="12">
        <v>2</v>
      </c>
      <c r="H152" s="12">
        <v>4997</v>
      </c>
      <c r="I152" s="12">
        <v>9994</v>
      </c>
      <c r="J152" s="13" t="s">
        <v>21</v>
      </c>
    </row>
    <row r="153" ht="14.25" spans="1:10">
      <c r="A153" s="12">
        <v>1151</v>
      </c>
      <c r="B153" s="13" t="s">
        <v>336</v>
      </c>
      <c r="C153" s="14">
        <v>45786</v>
      </c>
      <c r="D153" s="13" t="s">
        <v>23</v>
      </c>
      <c r="E153" s="13" t="s">
        <v>24</v>
      </c>
      <c r="F153" s="13" t="s">
        <v>337</v>
      </c>
      <c r="G153" s="12">
        <v>2</v>
      </c>
      <c r="H153" s="12">
        <v>2344</v>
      </c>
      <c r="I153" s="12">
        <v>4688</v>
      </c>
      <c r="J153" s="13" t="s">
        <v>17</v>
      </c>
    </row>
    <row r="154" ht="14.25" spans="1:10">
      <c r="A154" s="12">
        <v>1152</v>
      </c>
      <c r="B154" s="13" t="s">
        <v>338</v>
      </c>
      <c r="C154" s="14">
        <v>45721</v>
      </c>
      <c r="D154" s="13" t="s">
        <v>33</v>
      </c>
      <c r="E154" s="13" t="s">
        <v>44</v>
      </c>
      <c r="F154" s="13" t="s">
        <v>339</v>
      </c>
      <c r="G154" s="12">
        <v>7</v>
      </c>
      <c r="H154" s="12">
        <v>283</v>
      </c>
      <c r="I154" s="12">
        <v>1981</v>
      </c>
      <c r="J154" s="13" t="s">
        <v>17</v>
      </c>
    </row>
    <row r="155" ht="14.25" spans="1:10">
      <c r="A155" s="12">
        <v>1153</v>
      </c>
      <c r="B155" s="13" t="s">
        <v>340</v>
      </c>
      <c r="C155" s="14">
        <v>45652</v>
      </c>
      <c r="D155" s="13" t="s">
        <v>40</v>
      </c>
      <c r="E155" s="13" t="s">
        <v>47</v>
      </c>
      <c r="F155" s="13" t="s">
        <v>341</v>
      </c>
      <c r="G155" s="12">
        <v>6</v>
      </c>
      <c r="H155" s="12">
        <v>4009</v>
      </c>
      <c r="I155" s="12">
        <v>24054</v>
      </c>
      <c r="J155" s="13" t="s">
        <v>17</v>
      </c>
    </row>
    <row r="156" ht="14.25" spans="1:10">
      <c r="A156" s="12">
        <v>1154</v>
      </c>
      <c r="B156" s="13" t="s">
        <v>342</v>
      </c>
      <c r="C156" s="14">
        <v>45826</v>
      </c>
      <c r="D156" s="13" t="s">
        <v>33</v>
      </c>
      <c r="E156" s="13" t="s">
        <v>53</v>
      </c>
      <c r="F156" s="13" t="s">
        <v>343</v>
      </c>
      <c r="G156" s="12">
        <v>4</v>
      </c>
      <c r="H156" s="12">
        <v>4996</v>
      </c>
      <c r="I156" s="12">
        <v>19984</v>
      </c>
      <c r="J156" s="13" t="s">
        <v>17</v>
      </c>
    </row>
    <row r="157" ht="14.25" spans="1:10">
      <c r="A157" s="12">
        <v>1155</v>
      </c>
      <c r="B157" s="13" t="s">
        <v>344</v>
      </c>
      <c r="C157" s="14">
        <v>45764</v>
      </c>
      <c r="D157" s="13" t="s">
        <v>40</v>
      </c>
      <c r="E157" s="13" t="s">
        <v>92</v>
      </c>
      <c r="F157" s="13" t="s">
        <v>345</v>
      </c>
      <c r="G157" s="12">
        <v>3</v>
      </c>
      <c r="H157" s="12">
        <v>1649</v>
      </c>
      <c r="I157" s="12">
        <v>4947</v>
      </c>
      <c r="J157" s="13" t="s">
        <v>17</v>
      </c>
    </row>
    <row r="158" ht="14.25" spans="1:10">
      <c r="A158" s="12">
        <v>1156</v>
      </c>
      <c r="B158" s="13" t="s">
        <v>346</v>
      </c>
      <c r="C158" s="14">
        <v>45674</v>
      </c>
      <c r="D158" s="13" t="s">
        <v>23</v>
      </c>
      <c r="E158" s="13" t="s">
        <v>37</v>
      </c>
      <c r="F158" s="13" t="s">
        <v>347</v>
      </c>
      <c r="G158" s="12">
        <v>1</v>
      </c>
      <c r="H158" s="12">
        <v>593</v>
      </c>
      <c r="I158" s="12">
        <v>593</v>
      </c>
      <c r="J158" s="13" t="s">
        <v>14</v>
      </c>
    </row>
    <row r="159" ht="14.25" spans="1:10">
      <c r="A159" s="12">
        <v>1157</v>
      </c>
      <c r="B159" s="13" t="s">
        <v>348</v>
      </c>
      <c r="C159" s="14">
        <v>45739</v>
      </c>
      <c r="D159" s="13" t="s">
        <v>11</v>
      </c>
      <c r="E159" s="13" t="s">
        <v>119</v>
      </c>
      <c r="F159" s="13" t="s">
        <v>349</v>
      </c>
      <c r="G159" s="12">
        <v>7</v>
      </c>
      <c r="H159" s="12">
        <v>3915</v>
      </c>
      <c r="I159" s="12">
        <v>27405</v>
      </c>
      <c r="J159" s="13" t="s">
        <v>21</v>
      </c>
    </row>
    <row r="160" ht="14.25" spans="1:10">
      <c r="A160" s="12">
        <v>1158</v>
      </c>
      <c r="B160" s="13" t="s">
        <v>350</v>
      </c>
      <c r="C160" s="14">
        <v>45671</v>
      </c>
      <c r="D160" s="13" t="s">
        <v>33</v>
      </c>
      <c r="E160" s="13" t="s">
        <v>89</v>
      </c>
      <c r="F160" s="13" t="s">
        <v>351</v>
      </c>
      <c r="G160" s="12">
        <v>6</v>
      </c>
      <c r="H160" s="12">
        <v>4903</v>
      </c>
      <c r="I160" s="12">
        <v>29418</v>
      </c>
      <c r="J160" s="13" t="s">
        <v>17</v>
      </c>
    </row>
    <row r="161" ht="14.25" spans="1:10">
      <c r="A161" s="12">
        <v>1159</v>
      </c>
      <c r="B161" s="13" t="s">
        <v>352</v>
      </c>
      <c r="C161" s="14">
        <v>45826</v>
      </c>
      <c r="D161" s="13" t="s">
        <v>40</v>
      </c>
      <c r="E161" s="13" t="s">
        <v>41</v>
      </c>
      <c r="F161" s="13" t="s">
        <v>353</v>
      </c>
      <c r="G161" s="12">
        <v>3</v>
      </c>
      <c r="H161" s="12">
        <v>363</v>
      </c>
      <c r="I161" s="12">
        <v>1089</v>
      </c>
      <c r="J161" s="13" t="s">
        <v>29</v>
      </c>
    </row>
    <row r="162" ht="14.25" spans="1:10">
      <c r="A162" s="12">
        <v>1160</v>
      </c>
      <c r="B162" s="13" t="s">
        <v>354</v>
      </c>
      <c r="C162" s="14">
        <v>45739</v>
      </c>
      <c r="D162" s="13" t="s">
        <v>23</v>
      </c>
      <c r="E162" s="13" t="s">
        <v>24</v>
      </c>
      <c r="F162" s="13" t="s">
        <v>355</v>
      </c>
      <c r="G162" s="12">
        <v>9</v>
      </c>
      <c r="H162" s="12">
        <v>4719</v>
      </c>
      <c r="I162" s="12">
        <v>42471</v>
      </c>
      <c r="J162" s="13" t="s">
        <v>21</v>
      </c>
    </row>
    <row r="163" ht="14.25" spans="1:10">
      <c r="A163" s="12">
        <v>1161</v>
      </c>
      <c r="B163" s="13" t="s">
        <v>356</v>
      </c>
      <c r="C163" s="14">
        <v>45810</v>
      </c>
      <c r="D163" s="13" t="s">
        <v>11</v>
      </c>
      <c r="E163" s="13" t="s">
        <v>19</v>
      </c>
      <c r="F163" s="13" t="s">
        <v>357</v>
      </c>
      <c r="G163" s="12">
        <v>2</v>
      </c>
      <c r="H163" s="12">
        <v>3176</v>
      </c>
      <c r="I163" s="12">
        <v>6352</v>
      </c>
      <c r="J163" s="13" t="s">
        <v>29</v>
      </c>
    </row>
    <row r="164" ht="14.25" spans="1:10">
      <c r="A164" s="12">
        <v>1162</v>
      </c>
      <c r="B164" s="13" t="s">
        <v>358</v>
      </c>
      <c r="C164" s="14">
        <v>45761</v>
      </c>
      <c r="D164" s="13" t="s">
        <v>23</v>
      </c>
      <c r="E164" s="13" t="s">
        <v>37</v>
      </c>
      <c r="F164" s="13" t="s">
        <v>359</v>
      </c>
      <c r="G164" s="12">
        <v>1</v>
      </c>
      <c r="H164" s="12">
        <v>2876</v>
      </c>
      <c r="I164" s="12">
        <v>2876</v>
      </c>
      <c r="J164" s="13" t="s">
        <v>14</v>
      </c>
    </row>
    <row r="165" ht="14.25" spans="1:10">
      <c r="A165" s="12">
        <v>1163</v>
      </c>
      <c r="B165" s="13" t="s">
        <v>360</v>
      </c>
      <c r="C165" s="14">
        <v>45659</v>
      </c>
      <c r="D165" s="13" t="s">
        <v>11</v>
      </c>
      <c r="E165" s="13" t="s">
        <v>12</v>
      </c>
      <c r="F165" s="13" t="s">
        <v>361</v>
      </c>
      <c r="G165" s="12">
        <v>1</v>
      </c>
      <c r="H165" s="12">
        <v>2583</v>
      </c>
      <c r="I165" s="12">
        <v>2583</v>
      </c>
      <c r="J165" s="13" t="s">
        <v>29</v>
      </c>
    </row>
    <row r="166" ht="14.25" spans="1:10">
      <c r="A166" s="12">
        <v>1164</v>
      </c>
      <c r="B166" s="13" t="s">
        <v>362</v>
      </c>
      <c r="C166" s="14">
        <v>45746</v>
      </c>
      <c r="D166" s="13" t="s">
        <v>40</v>
      </c>
      <c r="E166" s="13" t="s">
        <v>122</v>
      </c>
      <c r="F166" s="13" t="s">
        <v>363</v>
      </c>
      <c r="G166" s="12">
        <v>3</v>
      </c>
      <c r="H166" s="12">
        <v>1032</v>
      </c>
      <c r="I166" s="12">
        <v>3096</v>
      </c>
      <c r="J166" s="13" t="s">
        <v>17</v>
      </c>
    </row>
    <row r="167" ht="14.25" spans="1:10">
      <c r="A167" s="12">
        <v>1165</v>
      </c>
      <c r="B167" s="13" t="s">
        <v>364</v>
      </c>
      <c r="C167" s="14">
        <v>45728</v>
      </c>
      <c r="D167" s="13" t="s">
        <v>23</v>
      </c>
      <c r="E167" s="13" t="s">
        <v>37</v>
      </c>
      <c r="F167" s="13" t="s">
        <v>365</v>
      </c>
      <c r="G167" s="12">
        <v>4</v>
      </c>
      <c r="H167" s="12">
        <v>1304</v>
      </c>
      <c r="I167" s="12">
        <v>5216</v>
      </c>
      <c r="J167" s="13" t="s">
        <v>21</v>
      </c>
    </row>
    <row r="168" ht="14.25" spans="1:10">
      <c r="A168" s="12">
        <v>1166</v>
      </c>
      <c r="B168" s="13" t="s">
        <v>366</v>
      </c>
      <c r="C168" s="14">
        <v>45705</v>
      </c>
      <c r="D168" s="13" t="s">
        <v>40</v>
      </c>
      <c r="E168" s="13" t="s">
        <v>122</v>
      </c>
      <c r="F168" s="13" t="s">
        <v>367</v>
      </c>
      <c r="G168" s="12">
        <v>1</v>
      </c>
      <c r="H168" s="12">
        <v>3926</v>
      </c>
      <c r="I168" s="12">
        <v>3926</v>
      </c>
      <c r="J168" s="13" t="s">
        <v>21</v>
      </c>
    </row>
    <row r="169" ht="14.25" spans="1:10">
      <c r="A169" s="12">
        <v>1167</v>
      </c>
      <c r="B169" s="13" t="s">
        <v>368</v>
      </c>
      <c r="C169" s="14">
        <v>45723</v>
      </c>
      <c r="D169" s="13" t="s">
        <v>33</v>
      </c>
      <c r="E169" s="13" t="s">
        <v>44</v>
      </c>
      <c r="F169" s="13" t="s">
        <v>369</v>
      </c>
      <c r="G169" s="12">
        <v>7</v>
      </c>
      <c r="H169" s="12">
        <v>4444</v>
      </c>
      <c r="I169" s="12">
        <v>31108</v>
      </c>
      <c r="J169" s="13" t="s">
        <v>21</v>
      </c>
    </row>
    <row r="170" ht="14.25" spans="1:10">
      <c r="A170" s="12">
        <v>1168</v>
      </c>
      <c r="B170" s="13" t="s">
        <v>370</v>
      </c>
      <c r="C170" s="14">
        <v>45742</v>
      </c>
      <c r="D170" s="13" t="s">
        <v>11</v>
      </c>
      <c r="E170" s="13" t="s">
        <v>12</v>
      </c>
      <c r="F170" s="13" t="s">
        <v>371</v>
      </c>
      <c r="G170" s="12">
        <v>10</v>
      </c>
      <c r="H170" s="12">
        <v>4462</v>
      </c>
      <c r="I170" s="12">
        <v>44620</v>
      </c>
      <c r="J170" s="13" t="s">
        <v>14</v>
      </c>
    </row>
    <row r="171" ht="14.25" spans="1:10">
      <c r="A171" s="12">
        <v>1169</v>
      </c>
      <c r="B171" s="13" t="s">
        <v>372</v>
      </c>
      <c r="C171" s="14">
        <v>45768</v>
      </c>
      <c r="D171" s="13" t="s">
        <v>23</v>
      </c>
      <c r="E171" s="13" t="s">
        <v>37</v>
      </c>
      <c r="F171" s="13" t="s">
        <v>373</v>
      </c>
      <c r="G171" s="12">
        <v>7</v>
      </c>
      <c r="H171" s="12">
        <v>2528</v>
      </c>
      <c r="I171" s="12">
        <v>17696</v>
      </c>
      <c r="J171" s="13" t="s">
        <v>29</v>
      </c>
    </row>
    <row r="172" ht="14.25" spans="1:10">
      <c r="A172" s="12">
        <v>1170</v>
      </c>
      <c r="B172" s="13" t="s">
        <v>374</v>
      </c>
      <c r="C172" s="14">
        <v>45832</v>
      </c>
      <c r="D172" s="13" t="s">
        <v>23</v>
      </c>
      <c r="E172" s="13" t="s">
        <v>37</v>
      </c>
      <c r="F172" s="13" t="s">
        <v>375</v>
      </c>
      <c r="G172" s="12">
        <v>7</v>
      </c>
      <c r="H172" s="12">
        <v>2140</v>
      </c>
      <c r="I172" s="12">
        <v>14980</v>
      </c>
      <c r="J172" s="13" t="s">
        <v>17</v>
      </c>
    </row>
    <row r="173" ht="14.25" spans="1:10">
      <c r="A173" s="12">
        <v>1171</v>
      </c>
      <c r="B173" s="13" t="s">
        <v>376</v>
      </c>
      <c r="C173" s="14">
        <v>45722</v>
      </c>
      <c r="D173" s="13" t="s">
        <v>11</v>
      </c>
      <c r="E173" s="13" t="s">
        <v>19</v>
      </c>
      <c r="F173" s="13" t="s">
        <v>377</v>
      </c>
      <c r="G173" s="12">
        <v>8</v>
      </c>
      <c r="H173" s="12">
        <v>2902</v>
      </c>
      <c r="I173" s="12">
        <v>23216</v>
      </c>
      <c r="J173" s="13" t="s">
        <v>17</v>
      </c>
    </row>
    <row r="174" ht="14.25" spans="1:10">
      <c r="A174" s="12">
        <v>1172</v>
      </c>
      <c r="B174" s="13" t="s">
        <v>378</v>
      </c>
      <c r="C174" s="14">
        <v>45785</v>
      </c>
      <c r="D174" s="13" t="s">
        <v>40</v>
      </c>
      <c r="E174" s="13" t="s">
        <v>92</v>
      </c>
      <c r="F174" s="13" t="s">
        <v>379</v>
      </c>
      <c r="G174" s="12">
        <v>1</v>
      </c>
      <c r="H174" s="12">
        <v>1847</v>
      </c>
      <c r="I174" s="12">
        <v>1847</v>
      </c>
      <c r="J174" s="13" t="s">
        <v>14</v>
      </c>
    </row>
    <row r="175" ht="14.25" spans="1:10">
      <c r="A175" s="12">
        <v>1173</v>
      </c>
      <c r="B175" s="13" t="s">
        <v>380</v>
      </c>
      <c r="C175" s="14">
        <v>45776</v>
      </c>
      <c r="D175" s="13" t="s">
        <v>40</v>
      </c>
      <c r="E175" s="13" t="s">
        <v>47</v>
      </c>
      <c r="F175" s="13" t="s">
        <v>381</v>
      </c>
      <c r="G175" s="12">
        <v>1</v>
      </c>
      <c r="H175" s="12">
        <v>3982</v>
      </c>
      <c r="I175" s="12">
        <v>3982</v>
      </c>
      <c r="J175" s="13" t="s">
        <v>17</v>
      </c>
    </row>
    <row r="176" ht="14.25" spans="1:10">
      <c r="A176" s="12">
        <v>1174</v>
      </c>
      <c r="B176" s="13" t="s">
        <v>382</v>
      </c>
      <c r="C176" s="14">
        <v>45753</v>
      </c>
      <c r="D176" s="13" t="s">
        <v>23</v>
      </c>
      <c r="E176" s="13" t="s">
        <v>24</v>
      </c>
      <c r="F176" s="13" t="s">
        <v>383</v>
      </c>
      <c r="G176" s="12">
        <v>7</v>
      </c>
      <c r="H176" s="12">
        <v>4536</v>
      </c>
      <c r="I176" s="12">
        <v>31752</v>
      </c>
      <c r="J176" s="13" t="s">
        <v>29</v>
      </c>
    </row>
    <row r="177" ht="14.25" spans="1:10">
      <c r="A177" s="12">
        <v>1175</v>
      </c>
      <c r="B177" s="13" t="s">
        <v>384</v>
      </c>
      <c r="C177" s="14">
        <v>45764</v>
      </c>
      <c r="D177" s="13" t="s">
        <v>23</v>
      </c>
      <c r="E177" s="13" t="s">
        <v>24</v>
      </c>
      <c r="F177" s="13" t="s">
        <v>385</v>
      </c>
      <c r="G177" s="12">
        <v>9</v>
      </c>
      <c r="H177" s="12">
        <v>2717</v>
      </c>
      <c r="I177" s="12">
        <v>24453</v>
      </c>
      <c r="J177" s="13" t="s">
        <v>29</v>
      </c>
    </row>
    <row r="178" ht="14.25" spans="1:10">
      <c r="A178" s="12">
        <v>1176</v>
      </c>
      <c r="B178" s="13" t="s">
        <v>386</v>
      </c>
      <c r="C178" s="14">
        <v>45690</v>
      </c>
      <c r="D178" s="13" t="s">
        <v>11</v>
      </c>
      <c r="E178" s="13" t="s">
        <v>119</v>
      </c>
      <c r="F178" s="13" t="s">
        <v>387</v>
      </c>
      <c r="G178" s="12">
        <v>9</v>
      </c>
      <c r="H178" s="12">
        <v>668</v>
      </c>
      <c r="I178" s="12">
        <v>6012</v>
      </c>
      <c r="J178" s="13" t="s">
        <v>17</v>
      </c>
    </row>
    <row r="179" ht="14.25" spans="1:10">
      <c r="A179" s="12">
        <v>1177</v>
      </c>
      <c r="B179" s="13" t="s">
        <v>388</v>
      </c>
      <c r="C179" s="14">
        <v>45780</v>
      </c>
      <c r="D179" s="13" t="s">
        <v>23</v>
      </c>
      <c r="E179" s="13" t="s">
        <v>50</v>
      </c>
      <c r="F179" s="13" t="s">
        <v>389</v>
      </c>
      <c r="G179" s="12">
        <v>1</v>
      </c>
      <c r="H179" s="12">
        <v>4199</v>
      </c>
      <c r="I179" s="12">
        <v>4199</v>
      </c>
      <c r="J179" s="13" t="s">
        <v>21</v>
      </c>
    </row>
    <row r="180" ht="14.25" spans="1:10">
      <c r="A180" s="12">
        <v>1178</v>
      </c>
      <c r="B180" s="13" t="s">
        <v>390</v>
      </c>
      <c r="C180" s="14">
        <v>45716</v>
      </c>
      <c r="D180" s="13" t="s">
        <v>40</v>
      </c>
      <c r="E180" s="13" t="s">
        <v>41</v>
      </c>
      <c r="F180" s="13" t="s">
        <v>391</v>
      </c>
      <c r="G180" s="12">
        <v>4</v>
      </c>
      <c r="H180" s="12">
        <v>209</v>
      </c>
      <c r="I180" s="12">
        <v>836</v>
      </c>
      <c r="J180" s="13" t="s">
        <v>29</v>
      </c>
    </row>
    <row r="181" ht="14.25" spans="1:10">
      <c r="A181" s="12">
        <v>1179</v>
      </c>
      <c r="B181" s="13" t="s">
        <v>392</v>
      </c>
      <c r="C181" s="14">
        <v>45778</v>
      </c>
      <c r="D181" s="13" t="s">
        <v>11</v>
      </c>
      <c r="E181" s="13" t="s">
        <v>119</v>
      </c>
      <c r="F181" s="13" t="s">
        <v>393</v>
      </c>
      <c r="G181" s="12">
        <v>8</v>
      </c>
      <c r="H181" s="12">
        <v>1464</v>
      </c>
      <c r="I181" s="12">
        <v>11712</v>
      </c>
      <c r="J181" s="13" t="s">
        <v>14</v>
      </c>
    </row>
    <row r="182" ht="14.25" spans="1:10">
      <c r="A182" s="12">
        <v>1180</v>
      </c>
      <c r="B182" s="13" t="s">
        <v>394</v>
      </c>
      <c r="C182" s="14">
        <v>45707</v>
      </c>
      <c r="D182" s="13" t="s">
        <v>11</v>
      </c>
      <c r="E182" s="13" t="s">
        <v>119</v>
      </c>
      <c r="F182" s="13" t="s">
        <v>395</v>
      </c>
      <c r="G182" s="12">
        <v>6</v>
      </c>
      <c r="H182" s="12">
        <v>4285</v>
      </c>
      <c r="I182" s="12">
        <v>25710</v>
      </c>
      <c r="J182" s="13" t="s">
        <v>21</v>
      </c>
    </row>
    <row r="183" ht="14.25" spans="1:10">
      <c r="A183" s="12">
        <v>1181</v>
      </c>
      <c r="B183" s="13" t="s">
        <v>396</v>
      </c>
      <c r="C183" s="14">
        <v>45692</v>
      </c>
      <c r="D183" s="13" t="s">
        <v>23</v>
      </c>
      <c r="E183" s="13" t="s">
        <v>27</v>
      </c>
      <c r="F183" s="13" t="s">
        <v>397</v>
      </c>
      <c r="G183" s="12">
        <v>2</v>
      </c>
      <c r="H183" s="12">
        <v>3057</v>
      </c>
      <c r="I183" s="12">
        <v>6114</v>
      </c>
      <c r="J183" s="13" t="s">
        <v>21</v>
      </c>
    </row>
    <row r="184" ht="14.25" spans="1:10">
      <c r="A184" s="12">
        <v>1182</v>
      </c>
      <c r="B184" s="13" t="s">
        <v>398</v>
      </c>
      <c r="C184" s="14">
        <v>45683</v>
      </c>
      <c r="D184" s="13" t="s">
        <v>40</v>
      </c>
      <c r="E184" s="13" t="s">
        <v>92</v>
      </c>
      <c r="F184" s="13" t="s">
        <v>399</v>
      </c>
      <c r="G184" s="12">
        <v>6</v>
      </c>
      <c r="H184" s="12">
        <v>4594</v>
      </c>
      <c r="I184" s="12">
        <v>27564</v>
      </c>
      <c r="J184" s="13" t="s">
        <v>14</v>
      </c>
    </row>
    <row r="185" ht="14.25" spans="1:10">
      <c r="A185" s="12">
        <v>1183</v>
      </c>
      <c r="B185" s="13" t="s">
        <v>400</v>
      </c>
      <c r="C185" s="14">
        <v>45681</v>
      </c>
      <c r="D185" s="13" t="s">
        <v>40</v>
      </c>
      <c r="E185" s="13" t="s">
        <v>47</v>
      </c>
      <c r="F185" s="13" t="s">
        <v>401</v>
      </c>
      <c r="G185" s="12">
        <v>1</v>
      </c>
      <c r="H185" s="12">
        <v>1511</v>
      </c>
      <c r="I185" s="12">
        <v>1511</v>
      </c>
      <c r="J185" s="13" t="s">
        <v>21</v>
      </c>
    </row>
    <row r="186" ht="14.25" spans="1:10">
      <c r="A186" s="12">
        <v>1184</v>
      </c>
      <c r="B186" s="13" t="s">
        <v>402</v>
      </c>
      <c r="C186" s="14">
        <v>45724</v>
      </c>
      <c r="D186" s="13" t="s">
        <v>40</v>
      </c>
      <c r="E186" s="13" t="s">
        <v>47</v>
      </c>
      <c r="F186" s="13" t="s">
        <v>403</v>
      </c>
      <c r="G186" s="12">
        <v>9</v>
      </c>
      <c r="H186" s="12">
        <v>3466</v>
      </c>
      <c r="I186" s="12">
        <v>31194</v>
      </c>
      <c r="J186" s="13" t="s">
        <v>17</v>
      </c>
    </row>
    <row r="187" ht="14.25" spans="1:10">
      <c r="A187" s="12">
        <v>1185</v>
      </c>
      <c r="B187" s="13" t="s">
        <v>404</v>
      </c>
      <c r="C187" s="14">
        <v>45797</v>
      </c>
      <c r="D187" s="13" t="s">
        <v>33</v>
      </c>
      <c r="E187" s="13" t="s">
        <v>34</v>
      </c>
      <c r="F187" s="13" t="s">
        <v>405</v>
      </c>
      <c r="G187" s="12">
        <v>3</v>
      </c>
      <c r="H187" s="12">
        <v>3087</v>
      </c>
      <c r="I187" s="12">
        <v>9261</v>
      </c>
      <c r="J187" s="13" t="s">
        <v>17</v>
      </c>
    </row>
    <row r="188" ht="14.25" spans="1:10">
      <c r="A188" s="12">
        <v>1186</v>
      </c>
      <c r="B188" s="13" t="s">
        <v>406</v>
      </c>
      <c r="C188" s="14">
        <v>45767</v>
      </c>
      <c r="D188" s="13" t="s">
        <v>11</v>
      </c>
      <c r="E188" s="13" t="s">
        <v>19</v>
      </c>
      <c r="F188" s="13" t="s">
        <v>407</v>
      </c>
      <c r="G188" s="12">
        <v>2</v>
      </c>
      <c r="H188" s="12">
        <v>4077</v>
      </c>
      <c r="I188" s="12">
        <v>8154</v>
      </c>
      <c r="J188" s="13" t="s">
        <v>29</v>
      </c>
    </row>
    <row r="189" ht="14.25" spans="1:10">
      <c r="A189" s="12">
        <v>1187</v>
      </c>
      <c r="B189" s="13" t="s">
        <v>408</v>
      </c>
      <c r="C189" s="14">
        <v>45803</v>
      </c>
      <c r="D189" s="13" t="s">
        <v>33</v>
      </c>
      <c r="E189" s="13" t="s">
        <v>44</v>
      </c>
      <c r="F189" s="13" t="s">
        <v>409</v>
      </c>
      <c r="G189" s="12">
        <v>1</v>
      </c>
      <c r="H189" s="12">
        <v>500</v>
      </c>
      <c r="I189" s="12">
        <v>500</v>
      </c>
      <c r="J189" s="13" t="s">
        <v>17</v>
      </c>
    </row>
    <row r="190" ht="14.25" spans="1:10">
      <c r="A190" s="12">
        <v>1188</v>
      </c>
      <c r="B190" s="13" t="s">
        <v>410</v>
      </c>
      <c r="C190" s="14">
        <v>45676</v>
      </c>
      <c r="D190" s="13" t="s">
        <v>23</v>
      </c>
      <c r="E190" s="13" t="s">
        <v>24</v>
      </c>
      <c r="F190" s="13" t="s">
        <v>411</v>
      </c>
      <c r="G190" s="12">
        <v>2</v>
      </c>
      <c r="H190" s="12">
        <v>3346</v>
      </c>
      <c r="I190" s="12">
        <v>6692</v>
      </c>
      <c r="J190" s="13" t="s">
        <v>14</v>
      </c>
    </row>
    <row r="191" ht="14.25" spans="1:10">
      <c r="A191" s="12">
        <v>1189</v>
      </c>
      <c r="B191" s="13" t="s">
        <v>412</v>
      </c>
      <c r="C191" s="14">
        <v>45742</v>
      </c>
      <c r="D191" s="13" t="s">
        <v>11</v>
      </c>
      <c r="E191" s="13" t="s">
        <v>19</v>
      </c>
      <c r="F191" s="13" t="s">
        <v>413</v>
      </c>
      <c r="G191" s="12">
        <v>9</v>
      </c>
      <c r="H191" s="12">
        <v>1358</v>
      </c>
      <c r="I191" s="12">
        <v>12222</v>
      </c>
      <c r="J191" s="13" t="s">
        <v>29</v>
      </c>
    </row>
    <row r="192" ht="14.25" spans="1:10">
      <c r="A192" s="12">
        <v>1190</v>
      </c>
      <c r="B192" s="13" t="s">
        <v>414</v>
      </c>
      <c r="C192" s="14">
        <v>45675</v>
      </c>
      <c r="D192" s="13" t="s">
        <v>33</v>
      </c>
      <c r="E192" s="13" t="s">
        <v>89</v>
      </c>
      <c r="F192" s="13" t="s">
        <v>415</v>
      </c>
      <c r="G192" s="12">
        <v>8</v>
      </c>
      <c r="H192" s="12">
        <v>4665</v>
      </c>
      <c r="I192" s="12">
        <v>37320</v>
      </c>
      <c r="J192" s="13" t="s">
        <v>21</v>
      </c>
    </row>
    <row r="193" ht="14.25" spans="1:10">
      <c r="A193" s="12">
        <v>1191</v>
      </c>
      <c r="B193" s="13" t="s">
        <v>416</v>
      </c>
      <c r="C193" s="14">
        <v>45735</v>
      </c>
      <c r="D193" s="13" t="s">
        <v>33</v>
      </c>
      <c r="E193" s="13" t="s">
        <v>34</v>
      </c>
      <c r="F193" s="13" t="s">
        <v>417</v>
      </c>
      <c r="G193" s="12">
        <v>3</v>
      </c>
      <c r="H193" s="12">
        <v>4799</v>
      </c>
      <c r="I193" s="12">
        <v>14397</v>
      </c>
      <c r="J193" s="13" t="s">
        <v>14</v>
      </c>
    </row>
    <row r="194" ht="14.25" spans="1:10">
      <c r="A194" s="12">
        <v>1192</v>
      </c>
      <c r="B194" s="13" t="s">
        <v>418</v>
      </c>
      <c r="C194" s="14">
        <v>45749</v>
      </c>
      <c r="D194" s="13" t="s">
        <v>33</v>
      </c>
      <c r="E194" s="13" t="s">
        <v>89</v>
      </c>
      <c r="F194" s="13" t="s">
        <v>419</v>
      </c>
      <c r="G194" s="12">
        <v>1</v>
      </c>
      <c r="H194" s="12">
        <v>727</v>
      </c>
      <c r="I194" s="12">
        <v>727</v>
      </c>
      <c r="J194" s="13" t="s">
        <v>29</v>
      </c>
    </row>
    <row r="195" ht="14.25" spans="1:10">
      <c r="A195" s="12">
        <v>1193</v>
      </c>
      <c r="B195" s="13" t="s">
        <v>420</v>
      </c>
      <c r="C195" s="14">
        <v>45676</v>
      </c>
      <c r="D195" s="13" t="s">
        <v>33</v>
      </c>
      <c r="E195" s="13" t="s">
        <v>34</v>
      </c>
      <c r="F195" s="13" t="s">
        <v>421</v>
      </c>
      <c r="G195" s="12">
        <v>7</v>
      </c>
      <c r="H195" s="12">
        <v>2351</v>
      </c>
      <c r="I195" s="12">
        <v>16457</v>
      </c>
      <c r="J195" s="13" t="s">
        <v>17</v>
      </c>
    </row>
    <row r="196" ht="14.25" spans="1:10">
      <c r="A196" s="12">
        <v>1194</v>
      </c>
      <c r="B196" s="13" t="s">
        <v>422</v>
      </c>
      <c r="C196" s="14">
        <v>45754</v>
      </c>
      <c r="D196" s="13" t="s">
        <v>40</v>
      </c>
      <c r="E196" s="13" t="s">
        <v>92</v>
      </c>
      <c r="F196" s="13" t="s">
        <v>423</v>
      </c>
      <c r="G196" s="12">
        <v>2</v>
      </c>
      <c r="H196" s="12">
        <v>2202</v>
      </c>
      <c r="I196" s="12">
        <v>4404</v>
      </c>
      <c r="J196" s="13" t="s">
        <v>21</v>
      </c>
    </row>
    <row r="197" ht="14.25" spans="1:10">
      <c r="A197" s="12">
        <v>1195</v>
      </c>
      <c r="B197" s="13" t="s">
        <v>424</v>
      </c>
      <c r="C197" s="14">
        <v>45703</v>
      </c>
      <c r="D197" s="13" t="s">
        <v>11</v>
      </c>
      <c r="E197" s="13" t="s">
        <v>12</v>
      </c>
      <c r="F197" s="13" t="s">
        <v>425</v>
      </c>
      <c r="G197" s="12">
        <v>7</v>
      </c>
      <c r="H197" s="12">
        <v>798</v>
      </c>
      <c r="I197" s="12">
        <v>5586</v>
      </c>
      <c r="J197" s="13" t="s">
        <v>17</v>
      </c>
    </row>
    <row r="198" ht="14.25" spans="1:10">
      <c r="A198" s="12">
        <v>1196</v>
      </c>
      <c r="B198" s="13" t="s">
        <v>426</v>
      </c>
      <c r="C198" s="14">
        <v>45714</v>
      </c>
      <c r="D198" s="13" t="s">
        <v>33</v>
      </c>
      <c r="E198" s="13" t="s">
        <v>44</v>
      </c>
      <c r="F198" s="13" t="s">
        <v>427</v>
      </c>
      <c r="G198" s="12">
        <v>3</v>
      </c>
      <c r="H198" s="12">
        <v>3116</v>
      </c>
      <c r="I198" s="12">
        <v>9348</v>
      </c>
      <c r="J198" s="13" t="s">
        <v>21</v>
      </c>
    </row>
    <row r="199" ht="14.25" spans="1:10">
      <c r="A199" s="12">
        <v>1197</v>
      </c>
      <c r="B199" s="13" t="s">
        <v>428</v>
      </c>
      <c r="C199" s="14">
        <v>45824</v>
      </c>
      <c r="D199" s="13" t="s">
        <v>23</v>
      </c>
      <c r="E199" s="13" t="s">
        <v>27</v>
      </c>
      <c r="F199" s="13" t="s">
        <v>429</v>
      </c>
      <c r="G199" s="12">
        <v>1</v>
      </c>
      <c r="H199" s="12">
        <v>1396</v>
      </c>
      <c r="I199" s="12">
        <v>1396</v>
      </c>
      <c r="J199" s="13" t="s">
        <v>17</v>
      </c>
    </row>
    <row r="200" ht="14.25" spans="1:10">
      <c r="A200" s="12">
        <v>1198</v>
      </c>
      <c r="B200" s="13" t="s">
        <v>430</v>
      </c>
      <c r="C200" s="14">
        <v>45810</v>
      </c>
      <c r="D200" s="13" t="s">
        <v>33</v>
      </c>
      <c r="E200" s="13" t="s">
        <v>89</v>
      </c>
      <c r="F200" s="13" t="s">
        <v>431</v>
      </c>
      <c r="G200" s="12">
        <v>6</v>
      </c>
      <c r="H200" s="12">
        <v>461</v>
      </c>
      <c r="I200" s="12">
        <v>2766</v>
      </c>
      <c r="J200" s="13" t="s">
        <v>14</v>
      </c>
    </row>
    <row r="201" ht="14.25" spans="1:10">
      <c r="A201" s="12">
        <v>1199</v>
      </c>
      <c r="B201" s="13" t="s">
        <v>432</v>
      </c>
      <c r="C201" s="14">
        <v>45686</v>
      </c>
      <c r="D201" s="13" t="s">
        <v>11</v>
      </c>
      <c r="E201" s="13" t="s">
        <v>72</v>
      </c>
      <c r="F201" s="13" t="s">
        <v>433</v>
      </c>
      <c r="G201" s="12">
        <v>4</v>
      </c>
      <c r="H201" s="12">
        <v>2299</v>
      </c>
      <c r="I201" s="12">
        <v>9196</v>
      </c>
      <c r="J201" s="13" t="s">
        <v>14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4"/>
  <sheetViews>
    <sheetView workbookViewId="0">
      <selection activeCell="H4" sqref="H4"/>
    </sheetView>
  </sheetViews>
  <sheetFormatPr defaultColWidth="9.14166666666667" defaultRowHeight="14.25" outlineLevelCol="2"/>
  <cols>
    <col min="1" max="1" width="26.7166666666667" style="1" customWidth="1"/>
    <col min="2" max="3" width="18.7166666666667" style="1"/>
    <col min="4" max="16384" width="9.14166666666667" style="1"/>
  </cols>
  <sheetData>
    <row r="1" ht="23.25" spans="1:3">
      <c r="A1" s="9" t="s">
        <v>434</v>
      </c>
    </row>
    <row r="3" ht="15" spans="1:3">
      <c r="A3" s="3" t="s">
        <v>1</v>
      </c>
      <c r="B3" s="3" t="s">
        <v>435</v>
      </c>
      <c r="C3" s="3" t="s">
        <v>436</v>
      </c>
    </row>
    <row r="4" spans="1:3">
      <c r="A4" s="3" t="s">
        <v>284</v>
      </c>
      <c r="B4" s="1">
        <v>47940</v>
      </c>
      <c r="C4" s="1">
        <v>1</v>
      </c>
    </row>
    <row r="5" spans="1:3">
      <c r="A5" s="3" t="s">
        <v>67</v>
      </c>
      <c r="B5" s="1">
        <v>44990</v>
      </c>
      <c r="C5" s="1">
        <v>1</v>
      </c>
    </row>
    <row r="6" spans="1:3">
      <c r="A6" s="3" t="s">
        <v>370</v>
      </c>
      <c r="B6" s="1">
        <v>44620</v>
      </c>
      <c r="C6" s="1">
        <v>1</v>
      </c>
    </row>
    <row r="7" spans="1:3">
      <c r="A7" s="3" t="s">
        <v>354</v>
      </c>
      <c r="B7" s="1">
        <v>42471</v>
      </c>
      <c r="C7" s="1">
        <v>1</v>
      </c>
    </row>
    <row r="8" spans="1:3">
      <c r="A8" s="3" t="s">
        <v>274</v>
      </c>
      <c r="B8" s="1">
        <v>41211</v>
      </c>
      <c r="C8" s="1">
        <v>1</v>
      </c>
    </row>
    <row r="9" spans="1:3">
      <c r="A9" s="3" t="s">
        <v>174</v>
      </c>
      <c r="B9" s="1">
        <v>37680</v>
      </c>
      <c r="C9" s="1">
        <v>1</v>
      </c>
    </row>
    <row r="10" spans="1:3">
      <c r="A10" s="3" t="s">
        <v>414</v>
      </c>
      <c r="B10" s="1">
        <v>37320</v>
      </c>
      <c r="C10" s="1">
        <v>1</v>
      </c>
    </row>
    <row r="11" spans="1:3">
      <c r="A11" s="3" t="s">
        <v>332</v>
      </c>
      <c r="B11" s="1">
        <v>36152</v>
      </c>
      <c r="C11" s="1">
        <v>1</v>
      </c>
    </row>
    <row r="12" spans="1:3">
      <c r="A12" s="3" t="s">
        <v>262</v>
      </c>
      <c r="B12" s="1">
        <v>34576</v>
      </c>
      <c r="C12" s="1">
        <v>1</v>
      </c>
    </row>
    <row r="13" spans="1:3">
      <c r="A13" s="3" t="s">
        <v>382</v>
      </c>
      <c r="B13" s="1">
        <v>31752</v>
      </c>
      <c r="C13" s="1">
        <v>1</v>
      </c>
    </row>
    <row r="14" spans="1:3">
      <c r="A14" s="3" t="s">
        <v>402</v>
      </c>
      <c r="B14" s="1">
        <v>31194</v>
      </c>
      <c r="C14" s="1">
        <v>1</v>
      </c>
    </row>
    <row r="15" spans="1:3">
      <c r="A15" s="3" t="s">
        <v>368</v>
      </c>
      <c r="B15" s="1">
        <v>31108</v>
      </c>
      <c r="C15" s="1">
        <v>1</v>
      </c>
    </row>
    <row r="16" spans="1:3">
      <c r="A16" s="3" t="s">
        <v>65</v>
      </c>
      <c r="B16" s="1">
        <v>29796</v>
      </c>
      <c r="C16" s="1">
        <v>1</v>
      </c>
    </row>
    <row r="17" spans="1:3">
      <c r="A17" s="3" t="s">
        <v>350</v>
      </c>
      <c r="B17" s="1">
        <v>29418</v>
      </c>
      <c r="C17" s="1">
        <v>1</v>
      </c>
    </row>
    <row r="18" spans="1:3">
      <c r="A18" s="3" t="s">
        <v>168</v>
      </c>
      <c r="B18" s="1">
        <v>29192</v>
      </c>
      <c r="C18" s="1">
        <v>1</v>
      </c>
    </row>
    <row r="19" spans="1:3">
      <c r="A19" s="3" t="s">
        <v>264</v>
      </c>
      <c r="B19" s="1">
        <v>29124</v>
      </c>
      <c r="C19" s="1">
        <v>1</v>
      </c>
    </row>
    <row r="20" spans="1:3">
      <c r="A20" s="3" t="s">
        <v>152</v>
      </c>
      <c r="B20" s="1">
        <v>28764</v>
      </c>
      <c r="C20" s="1">
        <v>1</v>
      </c>
    </row>
    <row r="21" spans="1:3">
      <c r="A21" s="3" t="s">
        <v>156</v>
      </c>
      <c r="B21" s="1">
        <v>28377</v>
      </c>
      <c r="C21" s="1">
        <v>1</v>
      </c>
    </row>
    <row r="22" spans="1:3">
      <c r="A22" s="3" t="s">
        <v>278</v>
      </c>
      <c r="B22" s="1">
        <v>27896</v>
      </c>
      <c r="C22" s="1">
        <v>1</v>
      </c>
    </row>
    <row r="23" spans="1:3">
      <c r="A23" s="3" t="s">
        <v>302</v>
      </c>
      <c r="B23" s="1">
        <v>27867</v>
      </c>
      <c r="C23" s="1">
        <v>1</v>
      </c>
    </row>
    <row r="24" spans="1:3">
      <c r="A24" s="3" t="s">
        <v>398</v>
      </c>
      <c r="B24" s="1">
        <v>27564</v>
      </c>
      <c r="C24" s="1">
        <v>1</v>
      </c>
    </row>
    <row r="25" spans="1:3">
      <c r="A25" s="3" t="s">
        <v>254</v>
      </c>
      <c r="B25" s="1">
        <v>27408</v>
      </c>
      <c r="C25" s="1">
        <v>1</v>
      </c>
    </row>
    <row r="26" spans="1:3">
      <c r="A26" s="3" t="s">
        <v>348</v>
      </c>
      <c r="B26" s="1">
        <v>27405</v>
      </c>
      <c r="C26" s="1">
        <v>1</v>
      </c>
    </row>
    <row r="27" spans="1:3">
      <c r="A27" s="3" t="s">
        <v>78</v>
      </c>
      <c r="B27" s="1">
        <v>27066</v>
      </c>
      <c r="C27" s="1">
        <v>1</v>
      </c>
    </row>
    <row r="28" spans="1:3">
      <c r="A28" s="3" t="s">
        <v>220</v>
      </c>
      <c r="B28" s="1">
        <v>26874</v>
      </c>
      <c r="C28" s="1">
        <v>1</v>
      </c>
    </row>
    <row r="29" spans="1:3">
      <c r="A29" s="3" t="s">
        <v>32</v>
      </c>
      <c r="B29" s="1">
        <v>26136</v>
      </c>
      <c r="C29" s="1">
        <v>1</v>
      </c>
    </row>
    <row r="30" spans="1:3">
      <c r="A30" s="3" t="s">
        <v>226</v>
      </c>
      <c r="B30" s="1">
        <v>25886</v>
      </c>
      <c r="C30" s="1">
        <v>1</v>
      </c>
    </row>
    <row r="31" spans="1:3">
      <c r="A31" s="3" t="s">
        <v>91</v>
      </c>
      <c r="B31" s="1">
        <v>25776</v>
      </c>
      <c r="C31" s="1">
        <v>1</v>
      </c>
    </row>
    <row r="32" spans="1:3">
      <c r="A32" s="3" t="s">
        <v>394</v>
      </c>
      <c r="B32" s="1">
        <v>25710</v>
      </c>
      <c r="C32" s="1">
        <v>1</v>
      </c>
    </row>
    <row r="33" spans="1:3">
      <c r="A33" s="3" t="s">
        <v>164</v>
      </c>
      <c r="B33" s="1">
        <v>25296</v>
      </c>
      <c r="C33" s="1">
        <v>1</v>
      </c>
    </row>
    <row r="34" spans="1:3">
      <c r="A34" s="3" t="s">
        <v>384</v>
      </c>
      <c r="B34" s="1">
        <v>24453</v>
      </c>
      <c r="C34" s="1">
        <v>1</v>
      </c>
    </row>
    <row r="35" spans="1:3">
      <c r="A35" s="3" t="s">
        <v>320</v>
      </c>
      <c r="B35" s="1">
        <v>24416</v>
      </c>
      <c r="C35" s="1">
        <v>1</v>
      </c>
    </row>
    <row r="36" spans="1:3">
      <c r="A36" s="3" t="s">
        <v>198</v>
      </c>
      <c r="B36" s="1">
        <v>24402</v>
      </c>
      <c r="C36" s="1">
        <v>1</v>
      </c>
    </row>
    <row r="37" spans="1:3">
      <c r="A37" s="3" t="s">
        <v>116</v>
      </c>
      <c r="B37" s="1">
        <v>24115</v>
      </c>
      <c r="C37" s="1">
        <v>1</v>
      </c>
    </row>
    <row r="38" spans="1:3">
      <c r="A38" s="3" t="s">
        <v>340</v>
      </c>
      <c r="B38" s="1">
        <v>24054</v>
      </c>
      <c r="C38" s="1">
        <v>1</v>
      </c>
    </row>
    <row r="39" spans="1:3">
      <c r="A39" s="3" t="s">
        <v>376</v>
      </c>
      <c r="B39" s="1">
        <v>23216</v>
      </c>
      <c r="C39" s="1">
        <v>1</v>
      </c>
    </row>
    <row r="40" spans="1:3">
      <c r="A40" s="3" t="s">
        <v>266</v>
      </c>
      <c r="B40" s="1">
        <v>23058</v>
      </c>
      <c r="C40" s="1">
        <v>1</v>
      </c>
    </row>
    <row r="41" spans="1:3">
      <c r="A41" s="3" t="s">
        <v>290</v>
      </c>
      <c r="B41" s="1">
        <v>22576</v>
      </c>
      <c r="C41" s="1">
        <v>1</v>
      </c>
    </row>
    <row r="42" spans="1:3">
      <c r="A42" s="3" t="s">
        <v>158</v>
      </c>
      <c r="B42" s="1">
        <v>22456</v>
      </c>
      <c r="C42" s="1">
        <v>1</v>
      </c>
    </row>
    <row r="43" spans="1:3">
      <c r="A43" s="3" t="s">
        <v>232</v>
      </c>
      <c r="B43" s="1">
        <v>22095</v>
      </c>
      <c r="C43" s="1">
        <v>1</v>
      </c>
    </row>
    <row r="44" spans="1:3">
      <c r="A44" s="3" t="s">
        <v>182</v>
      </c>
      <c r="B44" s="1">
        <v>21879</v>
      </c>
      <c r="C44" s="1">
        <v>1</v>
      </c>
    </row>
    <row r="45" spans="1:3">
      <c r="A45" s="3" t="s">
        <v>260</v>
      </c>
      <c r="B45" s="1">
        <v>21762</v>
      </c>
      <c r="C45" s="1">
        <v>1</v>
      </c>
    </row>
    <row r="46" spans="1:3">
      <c r="A46" s="3" t="s">
        <v>286</v>
      </c>
      <c r="B46" s="1">
        <v>21620</v>
      </c>
      <c r="C46" s="1">
        <v>1</v>
      </c>
    </row>
    <row r="47" spans="1:3">
      <c r="A47" s="3" t="s">
        <v>218</v>
      </c>
      <c r="B47" s="1">
        <v>21312</v>
      </c>
      <c r="C47" s="1">
        <v>1</v>
      </c>
    </row>
    <row r="48" spans="1:3">
      <c r="A48" s="3" t="s">
        <v>308</v>
      </c>
      <c r="B48" s="1">
        <v>21048</v>
      </c>
      <c r="C48" s="1">
        <v>1</v>
      </c>
    </row>
    <row r="49" spans="1:3">
      <c r="A49" s="3" t="s">
        <v>172</v>
      </c>
      <c r="B49" s="1">
        <v>20880</v>
      </c>
      <c r="C49" s="1">
        <v>1</v>
      </c>
    </row>
    <row r="50" spans="1:3">
      <c r="A50" s="3" t="s">
        <v>36</v>
      </c>
      <c r="B50" s="1">
        <v>20797</v>
      </c>
      <c r="C50" s="1">
        <v>1</v>
      </c>
    </row>
    <row r="51" spans="1:3">
      <c r="A51" s="3" t="s">
        <v>74</v>
      </c>
      <c r="B51" s="1">
        <v>20560</v>
      </c>
      <c r="C51" s="1">
        <v>1</v>
      </c>
    </row>
    <row r="52" spans="1:3">
      <c r="A52" s="3" t="s">
        <v>342</v>
      </c>
      <c r="B52" s="1">
        <v>19984</v>
      </c>
      <c r="C52" s="1">
        <v>1</v>
      </c>
    </row>
    <row r="53" spans="1:3">
      <c r="A53" s="3" t="s">
        <v>222</v>
      </c>
      <c r="B53" s="1">
        <v>19380</v>
      </c>
      <c r="C53" s="1">
        <v>1</v>
      </c>
    </row>
    <row r="54" spans="1:3">
      <c r="A54" s="3" t="s">
        <v>256</v>
      </c>
      <c r="B54" s="1">
        <v>19341</v>
      </c>
      <c r="C54" s="1">
        <v>1</v>
      </c>
    </row>
    <row r="55" spans="1:3">
      <c r="A55" s="3" t="s">
        <v>318</v>
      </c>
      <c r="B55" s="1">
        <v>18954</v>
      </c>
      <c r="C55" s="1">
        <v>1</v>
      </c>
    </row>
    <row r="56" spans="1:3">
      <c r="A56" s="3" t="s">
        <v>204</v>
      </c>
      <c r="B56" s="1">
        <v>18603</v>
      </c>
      <c r="C56" s="1">
        <v>1</v>
      </c>
    </row>
    <row r="57" spans="1:3">
      <c r="A57" s="3" t="s">
        <v>330</v>
      </c>
      <c r="B57" s="1">
        <v>18456</v>
      </c>
      <c r="C57" s="1">
        <v>1</v>
      </c>
    </row>
    <row r="58" spans="1:3">
      <c r="A58" s="3" t="s">
        <v>296</v>
      </c>
      <c r="B58" s="1">
        <v>18378</v>
      </c>
      <c r="C58" s="1">
        <v>1</v>
      </c>
    </row>
    <row r="59" spans="1:3">
      <c r="A59" s="3" t="s">
        <v>82</v>
      </c>
      <c r="B59" s="1">
        <v>18096</v>
      </c>
      <c r="C59" s="1">
        <v>1</v>
      </c>
    </row>
    <row r="60" spans="1:3">
      <c r="A60" s="3" t="s">
        <v>326</v>
      </c>
      <c r="B60" s="1">
        <v>17960</v>
      </c>
      <c r="C60" s="1">
        <v>1</v>
      </c>
    </row>
    <row r="61" spans="1:3">
      <c r="A61" s="3" t="s">
        <v>242</v>
      </c>
      <c r="B61" s="1">
        <v>17925</v>
      </c>
      <c r="C61" s="1">
        <v>1</v>
      </c>
    </row>
    <row r="62" spans="1:3">
      <c r="A62" s="3" t="s">
        <v>176</v>
      </c>
      <c r="B62" s="1">
        <v>17792</v>
      </c>
      <c r="C62" s="1">
        <v>1</v>
      </c>
    </row>
    <row r="63" spans="1:3">
      <c r="A63" s="3" t="s">
        <v>138</v>
      </c>
      <c r="B63" s="1">
        <v>17750</v>
      </c>
      <c r="C63" s="1">
        <v>1</v>
      </c>
    </row>
    <row r="64" spans="1:3">
      <c r="A64" s="3" t="s">
        <v>372</v>
      </c>
      <c r="B64" s="1">
        <v>17696</v>
      </c>
      <c r="C64" s="1">
        <v>1</v>
      </c>
    </row>
    <row r="65" spans="1:3">
      <c r="A65" s="3" t="s">
        <v>49</v>
      </c>
      <c r="B65" s="1">
        <v>17590</v>
      </c>
      <c r="C65" s="1">
        <v>1</v>
      </c>
    </row>
    <row r="66" spans="1:3">
      <c r="A66" s="3" t="s">
        <v>420</v>
      </c>
      <c r="B66" s="1">
        <v>16457</v>
      </c>
      <c r="C66" s="1">
        <v>1</v>
      </c>
    </row>
    <row r="67" spans="1:3">
      <c r="A67" s="3" t="s">
        <v>98</v>
      </c>
      <c r="B67" s="1">
        <v>15384</v>
      </c>
      <c r="C67" s="1">
        <v>1</v>
      </c>
    </row>
    <row r="68" spans="1:3">
      <c r="A68" s="3" t="s">
        <v>216</v>
      </c>
      <c r="B68" s="1">
        <v>15092</v>
      </c>
      <c r="C68" s="1">
        <v>1</v>
      </c>
    </row>
    <row r="69" spans="1:3">
      <c r="A69" s="3" t="s">
        <v>178</v>
      </c>
      <c r="B69" s="1">
        <v>15057</v>
      </c>
      <c r="C69" s="1">
        <v>1</v>
      </c>
    </row>
    <row r="70" spans="1:3">
      <c r="A70" s="3" t="s">
        <v>374</v>
      </c>
      <c r="B70" s="1">
        <v>14980</v>
      </c>
      <c r="C70" s="1">
        <v>1</v>
      </c>
    </row>
    <row r="71" spans="1:3">
      <c r="A71" s="3" t="s">
        <v>416</v>
      </c>
      <c r="B71" s="1">
        <v>14397</v>
      </c>
      <c r="C71" s="1">
        <v>1</v>
      </c>
    </row>
    <row r="72" spans="1:3">
      <c r="A72" s="3" t="s">
        <v>268</v>
      </c>
      <c r="B72" s="1">
        <v>14112</v>
      </c>
      <c r="C72" s="1">
        <v>1</v>
      </c>
    </row>
    <row r="73" spans="1:3">
      <c r="A73" s="3" t="s">
        <v>126</v>
      </c>
      <c r="B73" s="1">
        <v>13970</v>
      </c>
      <c r="C73" s="1">
        <v>1</v>
      </c>
    </row>
    <row r="74" spans="1:3">
      <c r="A74" s="3" t="s">
        <v>246</v>
      </c>
      <c r="B74" s="1">
        <v>13707</v>
      </c>
      <c r="C74" s="1">
        <v>1</v>
      </c>
    </row>
    <row r="75" spans="1:3">
      <c r="A75" s="3" t="s">
        <v>270</v>
      </c>
      <c r="B75" s="1">
        <v>13670</v>
      </c>
      <c r="C75" s="1">
        <v>1</v>
      </c>
    </row>
    <row r="76" spans="1:3">
      <c r="A76" s="3" t="s">
        <v>15</v>
      </c>
      <c r="B76" s="1">
        <v>13581</v>
      </c>
      <c r="C76" s="1">
        <v>1</v>
      </c>
    </row>
    <row r="77" spans="1:3">
      <c r="A77" s="3" t="s">
        <v>328</v>
      </c>
      <c r="B77" s="1">
        <v>13527</v>
      </c>
      <c r="C77" s="1">
        <v>1</v>
      </c>
    </row>
    <row r="78" spans="1:3">
      <c r="A78" s="3" t="s">
        <v>110</v>
      </c>
      <c r="B78" s="1">
        <v>13485</v>
      </c>
      <c r="C78" s="1">
        <v>1</v>
      </c>
    </row>
    <row r="79" spans="1:3">
      <c r="A79" s="3" t="s">
        <v>104</v>
      </c>
      <c r="B79" s="1">
        <v>13355</v>
      </c>
      <c r="C79" s="1">
        <v>1</v>
      </c>
    </row>
    <row r="80" spans="1:3">
      <c r="A80" s="3" t="s">
        <v>69</v>
      </c>
      <c r="B80" s="1">
        <v>13300</v>
      </c>
      <c r="C80" s="1">
        <v>1</v>
      </c>
    </row>
    <row r="81" spans="1:3">
      <c r="A81" s="3" t="s">
        <v>132</v>
      </c>
      <c r="B81" s="1">
        <v>13300</v>
      </c>
      <c r="C81" s="1">
        <v>1</v>
      </c>
    </row>
    <row r="82" spans="1:3">
      <c r="A82" s="3" t="s">
        <v>324</v>
      </c>
      <c r="B82" s="1">
        <v>12817</v>
      </c>
      <c r="C82" s="1">
        <v>1</v>
      </c>
    </row>
    <row r="83" spans="1:3">
      <c r="A83" s="3" t="s">
        <v>412</v>
      </c>
      <c r="B83" s="1">
        <v>12222</v>
      </c>
      <c r="C83" s="1">
        <v>1</v>
      </c>
    </row>
    <row r="84" spans="1:3">
      <c r="A84" s="3" t="s">
        <v>212</v>
      </c>
      <c r="B84" s="1">
        <v>12160</v>
      </c>
      <c r="C84" s="1">
        <v>1</v>
      </c>
    </row>
    <row r="85" spans="1:3">
      <c r="A85" s="3" t="s">
        <v>224</v>
      </c>
      <c r="B85" s="1">
        <v>12015</v>
      </c>
      <c r="C85" s="1">
        <v>1</v>
      </c>
    </row>
    <row r="86" spans="1:3">
      <c r="A86" s="3" t="s">
        <v>88</v>
      </c>
      <c r="B86" s="1">
        <v>11745</v>
      </c>
      <c r="C86" s="1">
        <v>1</v>
      </c>
    </row>
    <row r="87" spans="1:3">
      <c r="A87" s="3" t="s">
        <v>392</v>
      </c>
      <c r="B87" s="1">
        <v>11712</v>
      </c>
      <c r="C87" s="1">
        <v>1</v>
      </c>
    </row>
    <row r="88" spans="1:3">
      <c r="A88" s="3" t="s">
        <v>240</v>
      </c>
      <c r="B88" s="1">
        <v>11580</v>
      </c>
      <c r="C88" s="1">
        <v>1</v>
      </c>
    </row>
    <row r="89" spans="1:3">
      <c r="A89" s="3" t="s">
        <v>314</v>
      </c>
      <c r="B89" s="1">
        <v>10617</v>
      </c>
      <c r="C89" s="1">
        <v>1</v>
      </c>
    </row>
    <row r="90" spans="1:3">
      <c r="A90" s="3" t="s">
        <v>294</v>
      </c>
      <c r="B90" s="1">
        <v>10116</v>
      </c>
      <c r="C90" s="1">
        <v>1</v>
      </c>
    </row>
    <row r="91" spans="1:3">
      <c r="A91" s="3" t="s">
        <v>334</v>
      </c>
      <c r="B91" s="1">
        <v>9994</v>
      </c>
      <c r="C91" s="1">
        <v>1</v>
      </c>
    </row>
    <row r="92" spans="1:3">
      <c r="A92" s="3" t="s">
        <v>148</v>
      </c>
      <c r="B92" s="1">
        <v>9954</v>
      </c>
      <c r="C92" s="1">
        <v>1</v>
      </c>
    </row>
    <row r="93" spans="1:3">
      <c r="A93" s="3" t="s">
        <v>46</v>
      </c>
      <c r="B93" s="1">
        <v>9834</v>
      </c>
      <c r="C93" s="1">
        <v>1</v>
      </c>
    </row>
    <row r="94" spans="1:3">
      <c r="A94" s="3" t="s">
        <v>63</v>
      </c>
      <c r="B94" s="1">
        <v>9666</v>
      </c>
      <c r="C94" s="1">
        <v>1</v>
      </c>
    </row>
    <row r="95" spans="1:3">
      <c r="A95" s="3" t="s">
        <v>210</v>
      </c>
      <c r="B95" s="1">
        <v>9584</v>
      </c>
      <c r="C95" s="1">
        <v>1</v>
      </c>
    </row>
    <row r="96" spans="1:3">
      <c r="A96" s="3" t="s">
        <v>144</v>
      </c>
      <c r="B96" s="1">
        <v>9500</v>
      </c>
      <c r="C96" s="1">
        <v>1</v>
      </c>
    </row>
    <row r="97" spans="1:3">
      <c r="A97" s="3" t="s">
        <v>252</v>
      </c>
      <c r="B97" s="1">
        <v>9363</v>
      </c>
      <c r="C97" s="1">
        <v>1</v>
      </c>
    </row>
    <row r="98" spans="1:3">
      <c r="A98" s="3" t="s">
        <v>426</v>
      </c>
      <c r="B98" s="1">
        <v>9348</v>
      </c>
      <c r="C98" s="1">
        <v>1</v>
      </c>
    </row>
    <row r="99" spans="1:3">
      <c r="A99" s="3" t="s">
        <v>180</v>
      </c>
      <c r="B99" s="1">
        <v>9326</v>
      </c>
      <c r="C99" s="1">
        <v>1</v>
      </c>
    </row>
    <row r="100" spans="1:3">
      <c r="A100" s="3" t="s">
        <v>404</v>
      </c>
      <c r="B100" s="1">
        <v>9261</v>
      </c>
      <c r="C100" s="1">
        <v>1</v>
      </c>
    </row>
    <row r="101" spans="1:3">
      <c r="A101" s="3" t="s">
        <v>432</v>
      </c>
      <c r="B101" s="1">
        <v>9196</v>
      </c>
      <c r="C101" s="1">
        <v>1</v>
      </c>
    </row>
    <row r="102" spans="1:3">
      <c r="A102" s="3" t="s">
        <v>166</v>
      </c>
      <c r="B102" s="1">
        <v>9106</v>
      </c>
      <c r="C102" s="1">
        <v>1</v>
      </c>
    </row>
    <row r="103" spans="1:3">
      <c r="A103" s="3" t="s">
        <v>102</v>
      </c>
      <c r="B103" s="1">
        <v>9054</v>
      </c>
      <c r="C103" s="1">
        <v>1</v>
      </c>
    </row>
    <row r="104" spans="1:3">
      <c r="A104" s="3" t="s">
        <v>310</v>
      </c>
      <c r="B104" s="1">
        <v>8770</v>
      </c>
      <c r="C104" s="1">
        <v>1</v>
      </c>
    </row>
    <row r="105" spans="1:3">
      <c r="A105" s="3" t="s">
        <v>208</v>
      </c>
      <c r="B105" s="1">
        <v>8592</v>
      </c>
      <c r="C105" s="1">
        <v>1</v>
      </c>
    </row>
    <row r="106" spans="1:3">
      <c r="A106" s="3" t="s">
        <v>406</v>
      </c>
      <c r="B106" s="1">
        <v>8154</v>
      </c>
      <c r="C106" s="1">
        <v>1</v>
      </c>
    </row>
    <row r="107" spans="1:3">
      <c r="A107" s="3" t="s">
        <v>202</v>
      </c>
      <c r="B107" s="1">
        <v>7830</v>
      </c>
      <c r="C107" s="1">
        <v>1</v>
      </c>
    </row>
    <row r="108" spans="1:3">
      <c r="A108" s="3" t="s">
        <v>52</v>
      </c>
      <c r="B108" s="1">
        <v>7810</v>
      </c>
      <c r="C108" s="1">
        <v>1</v>
      </c>
    </row>
    <row r="109" spans="1:3">
      <c r="A109" s="3" t="s">
        <v>238</v>
      </c>
      <c r="B109" s="1">
        <v>7456</v>
      </c>
      <c r="C109" s="1">
        <v>1</v>
      </c>
    </row>
    <row r="110" spans="1:3">
      <c r="A110" s="3" t="s">
        <v>39</v>
      </c>
      <c r="B110" s="1">
        <v>7010</v>
      </c>
      <c r="C110" s="1">
        <v>1</v>
      </c>
    </row>
    <row r="111" spans="1:3">
      <c r="A111" s="3" t="s">
        <v>112</v>
      </c>
      <c r="B111" s="1">
        <v>6986</v>
      </c>
      <c r="C111" s="1">
        <v>1</v>
      </c>
    </row>
    <row r="112" spans="1:3">
      <c r="A112" s="3" t="s">
        <v>410</v>
      </c>
      <c r="B112" s="1">
        <v>6692</v>
      </c>
      <c r="C112" s="1">
        <v>1</v>
      </c>
    </row>
    <row r="113" spans="1:3">
      <c r="A113" s="3" t="s">
        <v>162</v>
      </c>
      <c r="B113" s="1">
        <v>6674</v>
      </c>
      <c r="C113" s="1">
        <v>1</v>
      </c>
    </row>
    <row r="114" spans="1:3">
      <c r="A114" s="3" t="s">
        <v>356</v>
      </c>
      <c r="B114" s="1">
        <v>6352</v>
      </c>
      <c r="C114" s="1">
        <v>1</v>
      </c>
    </row>
    <row r="115" spans="1:3">
      <c r="A115" s="3" t="s">
        <v>96</v>
      </c>
      <c r="B115" s="1">
        <v>6324</v>
      </c>
      <c r="C115" s="1">
        <v>1</v>
      </c>
    </row>
    <row r="116" spans="1:3">
      <c r="A116" s="3" t="s">
        <v>124</v>
      </c>
      <c r="B116" s="1">
        <v>6320</v>
      </c>
      <c r="C116" s="1">
        <v>1</v>
      </c>
    </row>
    <row r="117" spans="1:3">
      <c r="A117" s="3" t="s">
        <v>304</v>
      </c>
      <c r="B117" s="1">
        <v>6135</v>
      </c>
      <c r="C117" s="1">
        <v>1</v>
      </c>
    </row>
    <row r="118" spans="1:3">
      <c r="A118" s="3" t="s">
        <v>396</v>
      </c>
      <c r="B118" s="1">
        <v>6114</v>
      </c>
      <c r="C118" s="1">
        <v>1</v>
      </c>
    </row>
    <row r="119" spans="1:3">
      <c r="A119" s="3" t="s">
        <v>130</v>
      </c>
      <c r="B119" s="1">
        <v>6018</v>
      </c>
      <c r="C119" s="1">
        <v>1</v>
      </c>
    </row>
    <row r="120" spans="1:3">
      <c r="A120" s="3" t="s">
        <v>386</v>
      </c>
      <c r="B120" s="1">
        <v>6012</v>
      </c>
      <c r="C120" s="1">
        <v>1</v>
      </c>
    </row>
    <row r="121" spans="1:3">
      <c r="A121" s="3" t="s">
        <v>134</v>
      </c>
      <c r="B121" s="1">
        <v>5676</v>
      </c>
      <c r="C121" s="1">
        <v>1</v>
      </c>
    </row>
    <row r="122" spans="1:3">
      <c r="A122" s="3" t="s">
        <v>424</v>
      </c>
      <c r="B122" s="1">
        <v>5586</v>
      </c>
      <c r="C122" s="1">
        <v>1</v>
      </c>
    </row>
    <row r="123" spans="1:3">
      <c r="A123" s="3" t="s">
        <v>230</v>
      </c>
      <c r="B123" s="1">
        <v>5490</v>
      </c>
      <c r="C123" s="1">
        <v>1</v>
      </c>
    </row>
    <row r="124" spans="1:3">
      <c r="A124" s="3" t="s">
        <v>30</v>
      </c>
      <c r="B124" s="1">
        <v>5458</v>
      </c>
      <c r="C124" s="1">
        <v>1</v>
      </c>
    </row>
    <row r="125" spans="1:3">
      <c r="A125" s="3" t="s">
        <v>121</v>
      </c>
      <c r="B125" s="1">
        <v>5404</v>
      </c>
      <c r="C125" s="1">
        <v>1</v>
      </c>
    </row>
    <row r="126" spans="1:3">
      <c r="A126" s="3" t="s">
        <v>18</v>
      </c>
      <c r="B126" s="1">
        <v>5230</v>
      </c>
      <c r="C126" s="1">
        <v>1</v>
      </c>
    </row>
    <row r="127" spans="1:3">
      <c r="A127" s="3" t="s">
        <v>364</v>
      </c>
      <c r="B127" s="1">
        <v>5216</v>
      </c>
      <c r="C127" s="1">
        <v>1</v>
      </c>
    </row>
    <row r="128" spans="1:3">
      <c r="A128" s="3" t="s">
        <v>57</v>
      </c>
      <c r="B128" s="1">
        <v>5159</v>
      </c>
      <c r="C128" s="1">
        <v>1</v>
      </c>
    </row>
    <row r="129" spans="1:3">
      <c r="A129" s="3" t="s">
        <v>128</v>
      </c>
      <c r="B129" s="1">
        <v>5145</v>
      </c>
      <c r="C129" s="1">
        <v>1</v>
      </c>
    </row>
    <row r="130" spans="1:3">
      <c r="A130" s="3" t="s">
        <v>344</v>
      </c>
      <c r="B130" s="1">
        <v>4947</v>
      </c>
      <c r="C130" s="1">
        <v>1</v>
      </c>
    </row>
    <row r="131" spans="1:3">
      <c r="A131" s="3" t="s">
        <v>61</v>
      </c>
      <c r="B131" s="1">
        <v>4826</v>
      </c>
      <c r="C131" s="1">
        <v>1</v>
      </c>
    </row>
    <row r="132" spans="1:3">
      <c r="A132" s="3" t="s">
        <v>276</v>
      </c>
      <c r="B132" s="1">
        <v>4796</v>
      </c>
      <c r="C132" s="1">
        <v>1</v>
      </c>
    </row>
    <row r="133" spans="1:3">
      <c r="A133" s="3" t="s">
        <v>186</v>
      </c>
      <c r="B133" s="1">
        <v>4752</v>
      </c>
      <c r="C133" s="1">
        <v>1</v>
      </c>
    </row>
    <row r="134" spans="1:3">
      <c r="A134" s="3" t="s">
        <v>336</v>
      </c>
      <c r="B134" s="1">
        <v>4688</v>
      </c>
      <c r="C134" s="1">
        <v>1</v>
      </c>
    </row>
    <row r="135" spans="1:3">
      <c r="A135" s="3" t="s">
        <v>59</v>
      </c>
      <c r="B135" s="1">
        <v>4677</v>
      </c>
      <c r="C135" s="1">
        <v>1</v>
      </c>
    </row>
    <row r="136" spans="1:3">
      <c r="A136" s="3" t="s">
        <v>272</v>
      </c>
      <c r="B136" s="1">
        <v>4668</v>
      </c>
      <c r="C136" s="1">
        <v>1</v>
      </c>
    </row>
    <row r="137" spans="1:3">
      <c r="A137" s="3" t="s">
        <v>248</v>
      </c>
      <c r="B137" s="1">
        <v>4643</v>
      </c>
      <c r="C137" s="1">
        <v>1</v>
      </c>
    </row>
    <row r="138" spans="1:3">
      <c r="A138" s="3" t="s">
        <v>200</v>
      </c>
      <c r="B138" s="1">
        <v>4599</v>
      </c>
      <c r="C138" s="1">
        <v>1</v>
      </c>
    </row>
    <row r="139" spans="1:3">
      <c r="A139" s="3" t="s">
        <v>94</v>
      </c>
      <c r="B139" s="1">
        <v>4568</v>
      </c>
      <c r="C139" s="1">
        <v>1</v>
      </c>
    </row>
    <row r="140" spans="1:3">
      <c r="A140" s="3" t="s">
        <v>43</v>
      </c>
      <c r="B140" s="1">
        <v>4454</v>
      </c>
      <c r="C140" s="1">
        <v>1</v>
      </c>
    </row>
    <row r="141" spans="1:3">
      <c r="A141" s="3" t="s">
        <v>422</v>
      </c>
      <c r="B141" s="1">
        <v>4404</v>
      </c>
      <c r="C141" s="1">
        <v>1</v>
      </c>
    </row>
    <row r="142" spans="1:3">
      <c r="A142" s="3" t="s">
        <v>160</v>
      </c>
      <c r="B142" s="1">
        <v>4327</v>
      </c>
      <c r="C142" s="1">
        <v>1</v>
      </c>
    </row>
    <row r="143" spans="1:3">
      <c r="A143" s="3" t="s">
        <v>214</v>
      </c>
      <c r="B143" s="1">
        <v>4298</v>
      </c>
      <c r="C143" s="1">
        <v>1</v>
      </c>
    </row>
    <row r="144" spans="1:3">
      <c r="A144" s="3" t="s">
        <v>258</v>
      </c>
      <c r="B144" s="1">
        <v>4251</v>
      </c>
      <c r="C144" s="1">
        <v>1</v>
      </c>
    </row>
    <row r="145" spans="1:3">
      <c r="A145" s="3" t="s">
        <v>388</v>
      </c>
      <c r="B145" s="1">
        <v>4199</v>
      </c>
      <c r="C145" s="1">
        <v>1</v>
      </c>
    </row>
    <row r="146" spans="1:3">
      <c r="A146" s="3" t="s">
        <v>300</v>
      </c>
      <c r="B146" s="1">
        <v>4074</v>
      </c>
      <c r="C146" s="1">
        <v>1</v>
      </c>
    </row>
    <row r="147" spans="1:3">
      <c r="A147" s="3" t="s">
        <v>380</v>
      </c>
      <c r="B147" s="1">
        <v>3982</v>
      </c>
      <c r="C147" s="1">
        <v>1</v>
      </c>
    </row>
    <row r="148" spans="1:3">
      <c r="A148" s="3" t="s">
        <v>366</v>
      </c>
      <c r="B148" s="1">
        <v>3926</v>
      </c>
      <c r="C148" s="1">
        <v>1</v>
      </c>
    </row>
    <row r="149" spans="1:3">
      <c r="A149" s="3" t="s">
        <v>142</v>
      </c>
      <c r="B149" s="1">
        <v>3885</v>
      </c>
      <c r="C149" s="1">
        <v>1</v>
      </c>
    </row>
    <row r="150" spans="1:3">
      <c r="A150" s="3" t="s">
        <v>100</v>
      </c>
      <c r="B150" s="1">
        <v>3836</v>
      </c>
      <c r="C150" s="1">
        <v>1</v>
      </c>
    </row>
    <row r="151" spans="1:3">
      <c r="A151" s="3" t="s">
        <v>106</v>
      </c>
      <c r="B151" s="1">
        <v>3500</v>
      </c>
      <c r="C151" s="1">
        <v>1</v>
      </c>
    </row>
    <row r="152" spans="1:3">
      <c r="A152" s="3" t="s">
        <v>362</v>
      </c>
      <c r="B152" s="1">
        <v>3096</v>
      </c>
      <c r="C152" s="1">
        <v>1</v>
      </c>
    </row>
    <row r="153" spans="1:3">
      <c r="A153" s="3" t="s">
        <v>298</v>
      </c>
      <c r="B153" s="1">
        <v>3090</v>
      </c>
      <c r="C153" s="1">
        <v>1</v>
      </c>
    </row>
    <row r="154" spans="1:3">
      <c r="A154" s="3" t="s">
        <v>196</v>
      </c>
      <c r="B154" s="1">
        <v>2970</v>
      </c>
      <c r="C154" s="1">
        <v>1</v>
      </c>
    </row>
    <row r="155" spans="1:3">
      <c r="A155" s="3" t="s">
        <v>280</v>
      </c>
      <c r="B155" s="1">
        <v>2946</v>
      </c>
      <c r="C155" s="1">
        <v>1</v>
      </c>
    </row>
    <row r="156" spans="1:3">
      <c r="A156" s="3" t="s">
        <v>22</v>
      </c>
      <c r="B156" s="1">
        <v>2920</v>
      </c>
      <c r="C156" s="1">
        <v>1</v>
      </c>
    </row>
    <row r="157" spans="1:3">
      <c r="A157" s="3" t="s">
        <v>358</v>
      </c>
      <c r="B157" s="1">
        <v>2876</v>
      </c>
      <c r="C157" s="1">
        <v>1</v>
      </c>
    </row>
    <row r="158" spans="1:3">
      <c r="A158" s="3" t="s">
        <v>288</v>
      </c>
      <c r="B158" s="1">
        <v>2834</v>
      </c>
      <c r="C158" s="1">
        <v>1</v>
      </c>
    </row>
    <row r="159" spans="1:3">
      <c r="A159" s="3" t="s">
        <v>430</v>
      </c>
      <c r="B159" s="1">
        <v>2766</v>
      </c>
      <c r="C159" s="1">
        <v>1</v>
      </c>
    </row>
    <row r="160" spans="1:3">
      <c r="A160" s="3" t="s">
        <v>170</v>
      </c>
      <c r="B160" s="1">
        <v>2763</v>
      </c>
      <c r="C160" s="1">
        <v>1</v>
      </c>
    </row>
    <row r="161" spans="1:3">
      <c r="A161" s="3" t="s">
        <v>55</v>
      </c>
      <c r="B161" s="1">
        <v>2754</v>
      </c>
      <c r="C161" s="1">
        <v>1</v>
      </c>
    </row>
    <row r="162" spans="1:3">
      <c r="A162" s="3" t="s">
        <v>192</v>
      </c>
      <c r="B162" s="1">
        <v>2745</v>
      </c>
      <c r="C162" s="1">
        <v>1</v>
      </c>
    </row>
    <row r="163" spans="1:3">
      <c r="A163" s="3" t="s">
        <v>80</v>
      </c>
      <c r="B163" s="1">
        <v>2720</v>
      </c>
      <c r="C163" s="1">
        <v>1</v>
      </c>
    </row>
    <row r="164" spans="1:3">
      <c r="A164" s="3" t="s">
        <v>360</v>
      </c>
      <c r="B164" s="1">
        <v>2583</v>
      </c>
      <c r="C164" s="1">
        <v>1</v>
      </c>
    </row>
    <row r="165" spans="1:3">
      <c r="A165" s="3" t="s">
        <v>140</v>
      </c>
      <c r="B165" s="1">
        <v>2430</v>
      </c>
      <c r="C165" s="1">
        <v>1</v>
      </c>
    </row>
    <row r="166" spans="1:3">
      <c r="A166" s="3" t="s">
        <v>118</v>
      </c>
      <c r="B166" s="1">
        <v>2410</v>
      </c>
      <c r="C166" s="1">
        <v>1</v>
      </c>
    </row>
    <row r="167" spans="1:3">
      <c r="A167" s="3" t="s">
        <v>10</v>
      </c>
      <c r="B167" s="1">
        <v>2394</v>
      </c>
      <c r="C167" s="1">
        <v>1</v>
      </c>
    </row>
    <row r="168" spans="1:3">
      <c r="A168" s="3" t="s">
        <v>188</v>
      </c>
      <c r="B168" s="1">
        <v>2367</v>
      </c>
      <c r="C168" s="1">
        <v>1</v>
      </c>
    </row>
    <row r="169" spans="1:3">
      <c r="A169" s="3" t="s">
        <v>86</v>
      </c>
      <c r="B169" s="1">
        <v>2195</v>
      </c>
      <c r="C169" s="1">
        <v>1</v>
      </c>
    </row>
    <row r="170" spans="1:3">
      <c r="A170" s="3" t="s">
        <v>338</v>
      </c>
      <c r="B170" s="1">
        <v>1981</v>
      </c>
      <c r="C170" s="1">
        <v>1</v>
      </c>
    </row>
    <row r="171" spans="1:3">
      <c r="A171" s="3" t="s">
        <v>194</v>
      </c>
      <c r="B171" s="1">
        <v>1944</v>
      </c>
      <c r="C171" s="1">
        <v>1</v>
      </c>
    </row>
    <row r="172" spans="1:3">
      <c r="A172" s="3" t="s">
        <v>378</v>
      </c>
      <c r="B172" s="1">
        <v>1847</v>
      </c>
      <c r="C172" s="1">
        <v>1</v>
      </c>
    </row>
    <row r="173" spans="1:3">
      <c r="A173" s="3" t="s">
        <v>84</v>
      </c>
      <c r="B173" s="1">
        <v>1711</v>
      </c>
      <c r="C173" s="1">
        <v>1</v>
      </c>
    </row>
    <row r="174" spans="1:3">
      <c r="A174" s="3" t="s">
        <v>400</v>
      </c>
      <c r="B174" s="1">
        <v>1511</v>
      </c>
      <c r="C174" s="1">
        <v>1</v>
      </c>
    </row>
    <row r="175" spans="1:3">
      <c r="A175" s="3" t="s">
        <v>136</v>
      </c>
      <c r="B175" s="1">
        <v>1488</v>
      </c>
      <c r="C175" s="1">
        <v>1</v>
      </c>
    </row>
    <row r="176" spans="1:3">
      <c r="A176" s="3" t="s">
        <v>71</v>
      </c>
      <c r="B176" s="1">
        <v>1464</v>
      </c>
      <c r="C176" s="1">
        <v>1</v>
      </c>
    </row>
    <row r="177" spans="1:3">
      <c r="A177" s="3" t="s">
        <v>428</v>
      </c>
      <c r="B177" s="1">
        <v>1396</v>
      </c>
      <c r="C177" s="1">
        <v>1</v>
      </c>
    </row>
    <row r="178" spans="1:3">
      <c r="A178" s="3" t="s">
        <v>228</v>
      </c>
      <c r="B178" s="1">
        <v>1286</v>
      </c>
      <c r="C178" s="1">
        <v>1</v>
      </c>
    </row>
    <row r="179" spans="1:3">
      <c r="A179" s="3" t="s">
        <v>146</v>
      </c>
      <c r="B179" s="1">
        <v>1201</v>
      </c>
      <c r="C179" s="1">
        <v>1</v>
      </c>
    </row>
    <row r="180" spans="1:3">
      <c r="A180" s="3" t="s">
        <v>26</v>
      </c>
      <c r="B180" s="1">
        <v>1096</v>
      </c>
      <c r="C180" s="1">
        <v>1</v>
      </c>
    </row>
    <row r="181" spans="1:3">
      <c r="A181" s="3" t="s">
        <v>352</v>
      </c>
      <c r="B181" s="1">
        <v>1089</v>
      </c>
      <c r="C181" s="1">
        <v>1</v>
      </c>
    </row>
    <row r="182" spans="1:3">
      <c r="A182" s="3" t="s">
        <v>150</v>
      </c>
      <c r="B182" s="1">
        <v>1015</v>
      </c>
      <c r="C182" s="1">
        <v>1</v>
      </c>
    </row>
    <row r="183" spans="1:3">
      <c r="A183" s="3" t="s">
        <v>190</v>
      </c>
      <c r="B183" s="1">
        <v>988</v>
      </c>
      <c r="C183" s="1">
        <v>1</v>
      </c>
    </row>
    <row r="184" spans="1:3">
      <c r="A184" s="3" t="s">
        <v>244</v>
      </c>
      <c r="B184" s="1">
        <v>970</v>
      </c>
      <c r="C184" s="1">
        <v>1</v>
      </c>
    </row>
    <row r="185" spans="1:3">
      <c r="A185" s="3" t="s">
        <v>206</v>
      </c>
      <c r="B185" s="1">
        <v>949</v>
      </c>
      <c r="C185" s="1">
        <v>1</v>
      </c>
    </row>
    <row r="186" spans="1:3">
      <c r="A186" s="3" t="s">
        <v>322</v>
      </c>
      <c r="B186" s="1">
        <v>891</v>
      </c>
      <c r="C186" s="1">
        <v>1</v>
      </c>
    </row>
    <row r="187" spans="1:3">
      <c r="A187" s="3" t="s">
        <v>234</v>
      </c>
      <c r="B187" s="1">
        <v>884</v>
      </c>
      <c r="C187" s="1">
        <v>1</v>
      </c>
    </row>
    <row r="188" spans="1:3">
      <c r="A188" s="3" t="s">
        <v>114</v>
      </c>
      <c r="B188" s="1">
        <v>847</v>
      </c>
      <c r="C188" s="1">
        <v>1</v>
      </c>
    </row>
    <row r="189" spans="1:3">
      <c r="A189" s="3" t="s">
        <v>312</v>
      </c>
      <c r="B189" s="1">
        <v>844</v>
      </c>
      <c r="C189" s="1">
        <v>1</v>
      </c>
    </row>
    <row r="190" spans="1:3">
      <c r="A190" s="3" t="s">
        <v>390</v>
      </c>
      <c r="B190" s="1">
        <v>836</v>
      </c>
      <c r="C190" s="1">
        <v>1</v>
      </c>
    </row>
    <row r="191" spans="1:3">
      <c r="A191" s="3" t="s">
        <v>184</v>
      </c>
      <c r="B191" s="1">
        <v>812</v>
      </c>
      <c r="C191" s="1">
        <v>1</v>
      </c>
    </row>
    <row r="192" spans="1:3">
      <c r="A192" s="3" t="s">
        <v>316</v>
      </c>
      <c r="B192" s="1">
        <v>745</v>
      </c>
      <c r="C192" s="1">
        <v>1</v>
      </c>
    </row>
    <row r="193" spans="1:3">
      <c r="A193" s="3" t="s">
        <v>418</v>
      </c>
      <c r="B193" s="1">
        <v>727</v>
      </c>
      <c r="C193" s="1">
        <v>1</v>
      </c>
    </row>
    <row r="194" spans="1:3">
      <c r="A194" s="3" t="s">
        <v>236</v>
      </c>
      <c r="B194" s="1">
        <v>629</v>
      </c>
      <c r="C194" s="1">
        <v>1</v>
      </c>
    </row>
    <row r="195" spans="1:3">
      <c r="A195" s="3" t="s">
        <v>306</v>
      </c>
      <c r="B195" s="1">
        <v>602</v>
      </c>
      <c r="C195" s="1">
        <v>1</v>
      </c>
    </row>
    <row r="196" spans="1:3">
      <c r="A196" s="3" t="s">
        <v>346</v>
      </c>
      <c r="B196" s="1">
        <v>593</v>
      </c>
      <c r="C196" s="1">
        <v>1</v>
      </c>
    </row>
    <row r="197" spans="1:3">
      <c r="A197" s="3" t="s">
        <v>282</v>
      </c>
      <c r="B197" s="1">
        <v>545</v>
      </c>
      <c r="C197" s="1">
        <v>1</v>
      </c>
    </row>
    <row r="198" spans="1:3">
      <c r="A198" s="3" t="s">
        <v>408</v>
      </c>
      <c r="B198" s="1">
        <v>500</v>
      </c>
      <c r="C198" s="1">
        <v>1</v>
      </c>
    </row>
    <row r="199" spans="1:3">
      <c r="A199" s="3" t="s">
        <v>154</v>
      </c>
      <c r="B199" s="1">
        <v>390</v>
      </c>
      <c r="C199" s="1">
        <v>1</v>
      </c>
    </row>
    <row r="200" spans="1:3">
      <c r="A200" s="3" t="s">
        <v>76</v>
      </c>
      <c r="B200" s="1">
        <v>262</v>
      </c>
      <c r="C200" s="1">
        <v>1</v>
      </c>
    </row>
    <row r="201" spans="1:3">
      <c r="A201" s="3" t="s">
        <v>108</v>
      </c>
      <c r="B201" s="1">
        <v>253</v>
      </c>
      <c r="C201" s="1">
        <v>1</v>
      </c>
    </row>
    <row r="202" spans="1:3">
      <c r="A202" s="3" t="s">
        <v>250</v>
      </c>
      <c r="B202" s="1">
        <v>243</v>
      </c>
      <c r="C202" s="1">
        <v>1</v>
      </c>
    </row>
    <row r="203" spans="1:3">
      <c r="A203" s="3" t="s">
        <v>292</v>
      </c>
      <c r="B203" s="1">
        <v>79</v>
      </c>
      <c r="C203" s="1">
        <v>1</v>
      </c>
    </row>
    <row r="204" spans="1:3">
      <c r="A204" s="3" t="s">
        <v>437</v>
      </c>
      <c r="B204" s="1">
        <v>2420107</v>
      </c>
      <c r="C204" s="1">
        <v>200</v>
      </c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18" sqref="C18"/>
    </sheetView>
  </sheetViews>
  <sheetFormatPr defaultColWidth="9.14166666666667" defaultRowHeight="14.25" outlineLevelRow="6" outlineLevelCol="2"/>
  <cols>
    <col min="1" max="1" width="14.2833333333333" style="1" customWidth="1"/>
    <col min="2" max="2" width="15.2833333333333" style="1" customWidth="1"/>
    <col min="3" max="3" width="15.1416666666667" style="1"/>
    <col min="4" max="16384" width="9.14166666666667" style="1"/>
  </cols>
  <sheetData>
    <row r="1" ht="30" spans="1:3">
      <c r="A1" s="4" t="s">
        <v>438</v>
      </c>
    </row>
    <row r="3" ht="20.25" spans="1:3">
      <c r="A3" s="5" t="s">
        <v>439</v>
      </c>
      <c r="C3" s="6">
        <f>SUM(Sales_Data!I2:I201)</f>
        <v>2420107</v>
      </c>
    </row>
    <row r="5" ht="20.25" spans="1:3">
      <c r="A5" s="7" t="s">
        <v>440</v>
      </c>
      <c r="C5" s="6">
        <f>COUNT(Sales_Data!A2:A201)</f>
        <v>200</v>
      </c>
    </row>
    <row r="7" ht="20.25" spans="1:3">
      <c r="A7" s="8" t="s">
        <v>441</v>
      </c>
      <c r="C7" s="6">
        <f>AVERAGE((Sales_Data!I2:I201))</f>
        <v>12100.535</v>
      </c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abSelected="1" workbookViewId="0">
      <selection activeCell="A1" sqref="A1"/>
    </sheetView>
  </sheetViews>
  <sheetFormatPr defaultColWidth="9" defaultRowHeight="14.25"/>
  <cols>
    <col min="1" max="16384" width="9" style="1"/>
  </cols>
  <sheetData>
    <row r="1" ht="15.75" spans="1:1">
      <c r="A1" s="2" t="s">
        <v>442</v>
      </c>
    </row>
    <row r="3" spans="1:1">
      <c r="A3" s="3" t="s">
        <v>443</v>
      </c>
    </row>
    <row r="4" spans="1:1">
      <c r="A4" s="3" t="s">
        <v>444</v>
      </c>
    </row>
    <row r="5" spans="1:1">
      <c r="A5" s="3" t="s">
        <v>445</v>
      </c>
    </row>
    <row r="6" spans="1:1">
      <c r="A6" s="3" t="s">
        <v>446</v>
      </c>
    </row>
    <row r="7" spans="1:1">
      <c r="A7" s="3" t="s">
        <v>447</v>
      </c>
    </row>
    <row r="8" spans="1:1">
      <c r="A8" s="3" t="s">
        <v>448</v>
      </c>
    </row>
    <row r="10" ht="15.75" spans="1:1">
      <c r="A10" s="2" t="s">
        <v>449</v>
      </c>
    </row>
    <row r="12" spans="1:1">
      <c r="A12" s="3" t="s">
        <v>450</v>
      </c>
    </row>
    <row r="13" spans="1:1">
      <c r="A13" s="3" t="s">
        <v>451</v>
      </c>
    </row>
    <row r="15" ht="15.75" spans="1:1">
      <c r="A15" s="2" t="s">
        <v>452</v>
      </c>
    </row>
    <row r="17" spans="1:1">
      <c r="A17" s="3" t="s">
        <v>453</v>
      </c>
    </row>
    <row r="18" spans="1:1">
      <c r="A18" s="3" t="s">
        <v>451</v>
      </c>
    </row>
    <row r="20" ht="15.75" spans="1:1">
      <c r="A20" s="2" t="s">
        <v>454</v>
      </c>
    </row>
    <row r="22" spans="1:1">
      <c r="A22" s="3" t="s">
        <v>455</v>
      </c>
    </row>
    <row r="23" spans="1:1">
      <c r="A23" s="3" t="s">
        <v>451</v>
      </c>
    </row>
    <row r="25" ht="15.75" spans="1:1">
      <c r="A25" s="2" t="s">
        <v>456</v>
      </c>
    </row>
    <row r="27" spans="1:1">
      <c r="A27" s="3" t="s">
        <v>443</v>
      </c>
    </row>
    <row r="28" spans="1:1">
      <c r="A28" s="3" t="s">
        <v>457</v>
      </c>
    </row>
    <row r="29" spans="1:1">
      <c r="A29" s="3" t="s">
        <v>446</v>
      </c>
    </row>
    <row r="30" spans="1:1">
      <c r="A30" s="3" t="s">
        <v>447</v>
      </c>
    </row>
    <row r="31" spans="1:1">
      <c r="A31" s="3" t="s">
        <v>458</v>
      </c>
    </row>
    <row r="33" ht="15.75" spans="1:1">
      <c r="A33" s="2" t="s">
        <v>459</v>
      </c>
    </row>
    <row r="35" spans="1:1">
      <c r="A35" s="3" t="s">
        <v>443</v>
      </c>
    </row>
    <row r="36" spans="1:1">
      <c r="A36" s="3" t="s">
        <v>460</v>
      </c>
    </row>
    <row r="37" spans="1:1">
      <c r="A37" s="3" t="s">
        <v>446</v>
      </c>
    </row>
    <row r="38" spans="1:1">
      <c r="A38" s="3" t="s">
        <v>447</v>
      </c>
    </row>
    <row r="39" spans="1:1">
      <c r="A39" s="3" t="s">
        <v>461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pivotTables>
        <pivotTable pivotTableName="PivotTable1" updateTime="-1" sourceDataDirty="0"/>
      </pivotTables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11009122645393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2"/>
  <pixelatorList sheetStid="6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WWO_wpscloud_20260908203122-997daf6cd0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Sales_Data</vt:lpstr>
      <vt:lpstr>Top_Customers</vt:lpstr>
      <vt:lpstr>Avg_Order_Values</vt:lpstr>
      <vt:lpstr>SQL_Queries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afifajuwariah</cp:lastModifiedBy>
  <dcterms:created xsi:type="dcterms:W3CDTF">2025-06-25T22:49:00Z</dcterms:created>
  <dcterms:modified xsi:type="dcterms:W3CDTF">2026-09-19T20:39:00Z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A9C275CA09FC496190FB06F898E6A233_12</vt:lpwstr>
  </property>
  <property fmtid="{D5CDD505-2E9C-101B-9397-08002B2CF9AE}" pid="3" name="KSOProductBuildVer">
    <vt:lpwstr>2052-12.9.0.28592</vt:lpwstr>
  </property>
  <property fmtid="{D5CDD505-2E9C-101B-9397-08002B2CF9AE}" pid="4" name="CalculationRule">
    <vt:i4>0</vt:i4>
  </property>
</Properties>
</file>